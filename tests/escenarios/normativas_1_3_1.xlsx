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NORMATIVAS EEUU\"/>
    </mc:Choice>
  </mc:AlternateContent>
  <xr:revisionPtr revIDLastSave="0" documentId="13_ncr:1_{C955C6FE-930D-45FA-B161-65688E6D6E9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TIPOS" sheetId="2" r:id="rId1"/>
    <sheet name="PRESION-DIAMETROS" sheetId="3" r:id="rId2"/>
    <sheet name="PRESION-ACCESORIOS" sheetId="4" r:id="rId3"/>
    <sheet name="ELECT-TELECOM" sheetId="5" r:id="rId4"/>
    <sheet name="INSTRUCCIONES" sheetId="1" r:id="rId5"/>
    <sheet name="auxili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9" i="2" l="1"/>
  <c r="P178" i="2"/>
  <c r="P170" i="2"/>
  <c r="P147" i="2"/>
  <c r="P146" i="2"/>
  <c r="P138" i="2"/>
  <c r="P115" i="2"/>
  <c r="P114" i="2"/>
  <c r="P106" i="2"/>
  <c r="P83" i="2"/>
  <c r="P82" i="2"/>
  <c r="P74" i="2"/>
  <c r="P51" i="2"/>
  <c r="P50" i="2"/>
  <c r="P42" i="2"/>
  <c r="P19" i="2"/>
  <c r="P18" i="2"/>
  <c r="P10" i="2"/>
  <c r="P2" i="2" a="1"/>
  <c r="P187" i="2" s="1"/>
  <c r="O196" i="2"/>
  <c r="O195" i="2"/>
  <c r="O188" i="2"/>
  <c r="O187" i="2"/>
  <c r="O180" i="2"/>
  <c r="O179" i="2"/>
  <c r="O172" i="2"/>
  <c r="O171" i="2"/>
  <c r="O164" i="2"/>
  <c r="O163" i="2"/>
  <c r="O156" i="2"/>
  <c r="O155" i="2"/>
  <c r="O148" i="2"/>
  <c r="O147" i="2"/>
  <c r="O140" i="2"/>
  <c r="O139" i="2"/>
  <c r="O132" i="2"/>
  <c r="O131" i="2"/>
  <c r="O124" i="2"/>
  <c r="O123" i="2"/>
  <c r="O116" i="2"/>
  <c r="O115" i="2"/>
  <c r="O108" i="2"/>
  <c r="O107" i="2"/>
  <c r="O100" i="2"/>
  <c r="O99" i="2"/>
  <c r="O92" i="2"/>
  <c r="O91" i="2"/>
  <c r="O84" i="2"/>
  <c r="O83" i="2"/>
  <c r="O76" i="2"/>
  <c r="O75" i="2"/>
  <c r="O68" i="2"/>
  <c r="O67" i="2"/>
  <c r="O60" i="2"/>
  <c r="O59" i="2"/>
  <c r="O52" i="2"/>
  <c r="O51" i="2"/>
  <c r="O44" i="2"/>
  <c r="O43" i="2"/>
  <c r="O36" i="2"/>
  <c r="O35" i="2"/>
  <c r="O28" i="2"/>
  <c r="O27" i="2"/>
  <c r="O20" i="2"/>
  <c r="O19" i="2"/>
  <c r="O12" i="2"/>
  <c r="O11" i="2"/>
  <c r="O4" i="2"/>
  <c r="O3" i="2"/>
  <c r="O2" i="2" a="1"/>
  <c r="O194" i="2" s="1"/>
  <c r="N197" i="2"/>
  <c r="N196" i="2"/>
  <c r="N195" i="2"/>
  <c r="N189" i="2"/>
  <c r="N188" i="2"/>
  <c r="N187" i="2"/>
  <c r="N181" i="2"/>
  <c r="N180" i="2"/>
  <c r="N179" i="2"/>
  <c r="N173" i="2"/>
  <c r="N172" i="2"/>
  <c r="N171" i="2"/>
  <c r="N165" i="2"/>
  <c r="N164" i="2"/>
  <c r="N163" i="2"/>
  <c r="N157" i="2"/>
  <c r="N156" i="2"/>
  <c r="N155" i="2"/>
  <c r="N149" i="2"/>
  <c r="N148" i="2"/>
  <c r="N147" i="2"/>
  <c r="N141" i="2"/>
  <c r="N140" i="2"/>
  <c r="N139" i="2"/>
  <c r="N133" i="2"/>
  <c r="N132" i="2"/>
  <c r="N131" i="2"/>
  <c r="N125" i="2"/>
  <c r="N124" i="2"/>
  <c r="N123" i="2"/>
  <c r="N117" i="2"/>
  <c r="N116" i="2"/>
  <c r="N115" i="2"/>
  <c r="N109" i="2"/>
  <c r="N108" i="2"/>
  <c r="N107" i="2"/>
  <c r="N101" i="2"/>
  <c r="N100" i="2"/>
  <c r="N99" i="2"/>
  <c r="N93" i="2"/>
  <c r="N92" i="2"/>
  <c r="N91" i="2"/>
  <c r="N85" i="2"/>
  <c r="N84" i="2"/>
  <c r="N83" i="2"/>
  <c r="N77" i="2"/>
  <c r="N76" i="2"/>
  <c r="N75" i="2"/>
  <c r="N69" i="2"/>
  <c r="N68" i="2"/>
  <c r="N67" i="2"/>
  <c r="N61" i="2"/>
  <c r="N60" i="2"/>
  <c r="N59" i="2"/>
  <c r="N53" i="2"/>
  <c r="N52" i="2"/>
  <c r="N51" i="2"/>
  <c r="N45" i="2"/>
  <c r="N44" i="2"/>
  <c r="N43" i="2"/>
  <c r="N37" i="2"/>
  <c r="N36" i="2"/>
  <c r="N35" i="2"/>
  <c r="N29" i="2"/>
  <c r="N28" i="2"/>
  <c r="N27" i="2"/>
  <c r="N21" i="2"/>
  <c r="N20" i="2"/>
  <c r="N19" i="2"/>
  <c r="N13" i="2"/>
  <c r="N12" i="2"/>
  <c r="N11" i="2"/>
  <c r="N5" i="2"/>
  <c r="N4" i="2"/>
  <c r="N3" i="2"/>
  <c r="N2" i="2" a="1"/>
  <c r="N194" i="2" s="1"/>
  <c r="M2" i="2" a="1"/>
  <c r="M190" i="2" s="1"/>
  <c r="L200" i="2"/>
  <c r="L199" i="2"/>
  <c r="L197" i="2"/>
  <c r="L195" i="2"/>
  <c r="L192" i="2"/>
  <c r="L191" i="2"/>
  <c r="L189" i="2"/>
  <c r="L187" i="2"/>
  <c r="L184" i="2"/>
  <c r="L183" i="2"/>
  <c r="L181" i="2"/>
  <c r="L179" i="2"/>
  <c r="L176" i="2"/>
  <c r="L175" i="2"/>
  <c r="L173" i="2"/>
  <c r="L171" i="2"/>
  <c r="L168" i="2"/>
  <c r="L167" i="2"/>
  <c r="L165" i="2"/>
  <c r="L163" i="2"/>
  <c r="L160" i="2"/>
  <c r="L159" i="2"/>
  <c r="L157" i="2"/>
  <c r="L155" i="2"/>
  <c r="L152" i="2"/>
  <c r="L151" i="2"/>
  <c r="L149" i="2"/>
  <c r="L147" i="2"/>
  <c r="L144" i="2"/>
  <c r="L143" i="2"/>
  <c r="L141" i="2"/>
  <c r="L139" i="2"/>
  <c r="L136" i="2"/>
  <c r="L135" i="2"/>
  <c r="L133" i="2"/>
  <c r="L131" i="2"/>
  <c r="L128" i="2"/>
  <c r="L127" i="2"/>
  <c r="L125" i="2"/>
  <c r="L123" i="2"/>
  <c r="L120" i="2"/>
  <c r="L119" i="2"/>
  <c r="L117" i="2"/>
  <c r="L115" i="2"/>
  <c r="L112" i="2"/>
  <c r="L111" i="2"/>
  <c r="L109" i="2"/>
  <c r="L107" i="2"/>
  <c r="L104" i="2"/>
  <c r="L103" i="2"/>
  <c r="L101" i="2"/>
  <c r="L99" i="2"/>
  <c r="L96" i="2"/>
  <c r="L95" i="2"/>
  <c r="L93" i="2"/>
  <c r="L91" i="2"/>
  <c r="L88" i="2"/>
  <c r="L87" i="2"/>
  <c r="L85" i="2"/>
  <c r="L83" i="2"/>
  <c r="L80" i="2"/>
  <c r="L79" i="2"/>
  <c r="L77" i="2"/>
  <c r="L75" i="2"/>
  <c r="L72" i="2"/>
  <c r="L71" i="2"/>
  <c r="L69" i="2"/>
  <c r="L67" i="2"/>
  <c r="L64" i="2"/>
  <c r="L63" i="2"/>
  <c r="L61" i="2"/>
  <c r="L59" i="2"/>
  <c r="L56" i="2"/>
  <c r="L55" i="2"/>
  <c r="L53" i="2"/>
  <c r="L51" i="2"/>
  <c r="L48" i="2"/>
  <c r="L47" i="2"/>
  <c r="L45" i="2"/>
  <c r="L43" i="2"/>
  <c r="L40" i="2"/>
  <c r="L39" i="2"/>
  <c r="L37" i="2"/>
  <c r="L35" i="2"/>
  <c r="L32" i="2"/>
  <c r="L31" i="2"/>
  <c r="L29" i="2"/>
  <c r="L27" i="2"/>
  <c r="L24" i="2"/>
  <c r="L23" i="2"/>
  <c r="L21" i="2"/>
  <c r="L19" i="2"/>
  <c r="L16" i="2"/>
  <c r="L15" i="2"/>
  <c r="L13" i="2"/>
  <c r="L11" i="2"/>
  <c r="L8" i="2"/>
  <c r="L7" i="2"/>
  <c r="L5" i="2"/>
  <c r="L3" i="2"/>
  <c r="L2" i="2" a="1"/>
  <c r="L196" i="2" s="1"/>
  <c r="K2" i="2" a="1"/>
  <c r="K196" i="2" s="1"/>
  <c r="K4" i="2" l="1"/>
  <c r="K23" i="2"/>
  <c r="K43" i="2"/>
  <c r="K64" i="2"/>
  <c r="K86" i="2"/>
  <c r="K107" i="2"/>
  <c r="K128" i="2"/>
  <c r="K150" i="2"/>
  <c r="K188" i="2"/>
  <c r="M6" i="2"/>
  <c r="M38" i="2"/>
  <c r="M70" i="2"/>
  <c r="M102" i="2"/>
  <c r="M163" i="2"/>
  <c r="K15" i="2"/>
  <c r="K33" i="2"/>
  <c r="K55" i="2"/>
  <c r="K76" i="2"/>
  <c r="K97" i="2"/>
  <c r="K119" i="2"/>
  <c r="K140" i="2"/>
  <c r="K164" i="2"/>
  <c r="K190" i="2"/>
  <c r="M87" i="2"/>
  <c r="M126" i="2"/>
  <c r="K16" i="2"/>
  <c r="K35" i="2"/>
  <c r="K88" i="2"/>
  <c r="K153" i="2"/>
  <c r="K179" i="2"/>
  <c r="M10" i="2"/>
  <c r="M90" i="2"/>
  <c r="M131" i="2"/>
  <c r="K26" i="2"/>
  <c r="K57" i="2"/>
  <c r="K68" i="2"/>
  <c r="K79" i="2"/>
  <c r="K89" i="2"/>
  <c r="K100" i="2"/>
  <c r="K111" i="2"/>
  <c r="K121" i="2"/>
  <c r="K132" i="2"/>
  <c r="K143" i="2"/>
  <c r="K155" i="2"/>
  <c r="K168" i="2"/>
  <c r="K180" i="2"/>
  <c r="K193" i="2"/>
  <c r="M12" i="2"/>
  <c r="M28" i="2"/>
  <c r="M44" i="2"/>
  <c r="M60" i="2"/>
  <c r="M76" i="2"/>
  <c r="M92" i="2"/>
  <c r="M110" i="2"/>
  <c r="M140" i="2"/>
  <c r="M179" i="2"/>
  <c r="K9" i="2"/>
  <c r="K18" i="2"/>
  <c r="K27" i="2"/>
  <c r="K38" i="2"/>
  <c r="K48" i="2"/>
  <c r="K59" i="2"/>
  <c r="K70" i="2"/>
  <c r="K80" i="2"/>
  <c r="K91" i="2"/>
  <c r="K102" i="2"/>
  <c r="K112" i="2"/>
  <c r="K123" i="2"/>
  <c r="K134" i="2"/>
  <c r="K144" i="2"/>
  <c r="K156" i="2"/>
  <c r="K169" i="2"/>
  <c r="K182" i="2"/>
  <c r="K195" i="2"/>
  <c r="M14" i="2"/>
  <c r="M30" i="2"/>
  <c r="M46" i="2"/>
  <c r="M62" i="2"/>
  <c r="M78" i="2"/>
  <c r="M94" i="2"/>
  <c r="M111" i="2"/>
  <c r="M142" i="2"/>
  <c r="M188" i="2"/>
  <c r="K14" i="2"/>
  <c r="K32" i="2"/>
  <c r="K54" i="2"/>
  <c r="K75" i="2"/>
  <c r="K96" i="2"/>
  <c r="K118" i="2"/>
  <c r="K139" i="2"/>
  <c r="K163" i="2"/>
  <c r="K176" i="2"/>
  <c r="K201" i="2"/>
  <c r="M22" i="2"/>
  <c r="M54" i="2"/>
  <c r="M86" i="2"/>
  <c r="M124" i="2"/>
  <c r="K6" i="2"/>
  <c r="K24" i="2"/>
  <c r="K44" i="2"/>
  <c r="K65" i="2"/>
  <c r="K87" i="2"/>
  <c r="K108" i="2"/>
  <c r="K129" i="2"/>
  <c r="K152" i="2"/>
  <c r="K177" i="2"/>
  <c r="M7" i="2"/>
  <c r="M23" i="2"/>
  <c r="M39" i="2"/>
  <c r="M55" i="2"/>
  <c r="M71" i="2"/>
  <c r="M103" i="2"/>
  <c r="M172" i="2"/>
  <c r="K7" i="2"/>
  <c r="K25" i="2"/>
  <c r="K46" i="2"/>
  <c r="K56" i="2"/>
  <c r="K67" i="2"/>
  <c r="K78" i="2"/>
  <c r="K99" i="2"/>
  <c r="K110" i="2"/>
  <c r="K120" i="2"/>
  <c r="K131" i="2"/>
  <c r="K142" i="2"/>
  <c r="K166" i="2"/>
  <c r="K192" i="2"/>
  <c r="M26" i="2"/>
  <c r="M42" i="2"/>
  <c r="M58" i="2"/>
  <c r="M74" i="2"/>
  <c r="M108" i="2"/>
  <c r="M174" i="2"/>
  <c r="K8" i="2"/>
  <c r="K17" i="2"/>
  <c r="K36" i="2"/>
  <c r="K47" i="2"/>
  <c r="K2" i="2"/>
  <c r="K10" i="2"/>
  <c r="K19" i="2"/>
  <c r="K28" i="2"/>
  <c r="K39" i="2"/>
  <c r="K49" i="2"/>
  <c r="K60" i="2"/>
  <c r="K71" i="2"/>
  <c r="K81" i="2"/>
  <c r="K92" i="2"/>
  <c r="K103" i="2"/>
  <c r="K113" i="2"/>
  <c r="K124" i="2"/>
  <c r="K135" i="2"/>
  <c r="K145" i="2"/>
  <c r="K158" i="2"/>
  <c r="K171" i="2"/>
  <c r="K184" i="2"/>
  <c r="M15" i="2"/>
  <c r="M31" i="2"/>
  <c r="M47" i="2"/>
  <c r="M63" i="2"/>
  <c r="M79" i="2"/>
  <c r="M95" i="2"/>
  <c r="M116" i="2"/>
  <c r="M147" i="2"/>
  <c r="M194" i="2"/>
  <c r="M186" i="2"/>
  <c r="M178" i="2"/>
  <c r="M170" i="2"/>
  <c r="M162" i="2"/>
  <c r="M154" i="2"/>
  <c r="M146" i="2"/>
  <c r="M138" i="2"/>
  <c r="M130" i="2"/>
  <c r="M201" i="2"/>
  <c r="M193" i="2"/>
  <c r="M185" i="2"/>
  <c r="M177" i="2"/>
  <c r="M169" i="2"/>
  <c r="M161" i="2"/>
  <c r="M153" i="2"/>
  <c r="M145" i="2"/>
  <c r="M137" i="2"/>
  <c r="M129" i="2"/>
  <c r="M200" i="2"/>
  <c r="M192" i="2"/>
  <c r="M184" i="2"/>
  <c r="M176" i="2"/>
  <c r="M168" i="2"/>
  <c r="M160" i="2"/>
  <c r="M152" i="2"/>
  <c r="M144" i="2"/>
  <c r="M136" i="2"/>
  <c r="M128" i="2"/>
  <c r="M199" i="2"/>
  <c r="M191" i="2"/>
  <c r="M183" i="2"/>
  <c r="M175" i="2"/>
  <c r="M167" i="2"/>
  <c r="M159" i="2"/>
  <c r="M151" i="2"/>
  <c r="M143" i="2"/>
  <c r="M135" i="2"/>
  <c r="M127" i="2"/>
  <c r="M187" i="2"/>
  <c r="M171" i="2"/>
  <c r="M155" i="2"/>
  <c r="M139" i="2"/>
  <c r="M123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3" i="2"/>
  <c r="M198" i="2"/>
  <c r="M182" i="2"/>
  <c r="M166" i="2"/>
  <c r="M150" i="2"/>
  <c r="M134" i="2"/>
  <c r="M122" i="2"/>
  <c r="M114" i="2"/>
  <c r="M106" i="2"/>
  <c r="M197" i="2"/>
  <c r="M181" i="2"/>
  <c r="M165" i="2"/>
  <c r="M149" i="2"/>
  <c r="M133" i="2"/>
  <c r="M121" i="2"/>
  <c r="M113" i="2"/>
  <c r="M105" i="2"/>
  <c r="M97" i="2"/>
  <c r="M89" i="2"/>
  <c r="M81" i="2"/>
  <c r="M73" i="2"/>
  <c r="M65" i="2"/>
  <c r="M57" i="2"/>
  <c r="M49" i="2"/>
  <c r="M41" i="2"/>
  <c r="M33" i="2"/>
  <c r="M25" i="2"/>
  <c r="M17" i="2"/>
  <c r="M9" i="2"/>
  <c r="M2" i="2"/>
  <c r="M196" i="2"/>
  <c r="M180" i="2"/>
  <c r="M164" i="2"/>
  <c r="M148" i="2"/>
  <c r="M132" i="2"/>
  <c r="M120" i="2"/>
  <c r="M112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M189" i="2"/>
  <c r="M173" i="2"/>
  <c r="M157" i="2"/>
  <c r="M141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5" i="2"/>
  <c r="M18" i="2"/>
  <c r="M34" i="2"/>
  <c r="M50" i="2"/>
  <c r="M66" i="2"/>
  <c r="M82" i="2"/>
  <c r="M98" i="2"/>
  <c r="M118" i="2"/>
  <c r="M156" i="2"/>
  <c r="M195" i="2"/>
  <c r="K197" i="2"/>
  <c r="K189" i="2"/>
  <c r="K181" i="2"/>
  <c r="K173" i="2"/>
  <c r="K165" i="2"/>
  <c r="K157" i="2"/>
  <c r="K149" i="2"/>
  <c r="K141" i="2"/>
  <c r="K133" i="2"/>
  <c r="K125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K5" i="2"/>
  <c r="K194" i="2"/>
  <c r="K186" i="2"/>
  <c r="K178" i="2"/>
  <c r="K170" i="2"/>
  <c r="K162" i="2"/>
  <c r="K154" i="2"/>
  <c r="K146" i="2"/>
  <c r="K138" i="2"/>
  <c r="K130" i="2"/>
  <c r="K122" i="2"/>
  <c r="K114" i="2"/>
  <c r="K106" i="2"/>
  <c r="K98" i="2"/>
  <c r="K90" i="2"/>
  <c r="K82" i="2"/>
  <c r="K74" i="2"/>
  <c r="K66" i="2"/>
  <c r="K58" i="2"/>
  <c r="K50" i="2"/>
  <c r="K42" i="2"/>
  <c r="K34" i="2"/>
  <c r="K199" i="2"/>
  <c r="K191" i="2"/>
  <c r="K183" i="2"/>
  <c r="K175" i="2"/>
  <c r="K167" i="2"/>
  <c r="K159" i="2"/>
  <c r="K151" i="2"/>
  <c r="K11" i="2"/>
  <c r="K20" i="2"/>
  <c r="K30" i="2"/>
  <c r="K40" i="2"/>
  <c r="K51" i="2"/>
  <c r="K62" i="2"/>
  <c r="K72" i="2"/>
  <c r="K83" i="2"/>
  <c r="K94" i="2"/>
  <c r="K104" i="2"/>
  <c r="K115" i="2"/>
  <c r="K126" i="2"/>
  <c r="K136" i="2"/>
  <c r="K147" i="2"/>
  <c r="K160" i="2"/>
  <c r="K172" i="2"/>
  <c r="K185" i="2"/>
  <c r="K198" i="2"/>
  <c r="K3" i="2"/>
  <c r="K12" i="2"/>
  <c r="K22" i="2"/>
  <c r="K31" i="2"/>
  <c r="K41" i="2"/>
  <c r="K52" i="2"/>
  <c r="K63" i="2"/>
  <c r="K73" i="2"/>
  <c r="K84" i="2"/>
  <c r="K95" i="2"/>
  <c r="K105" i="2"/>
  <c r="K116" i="2"/>
  <c r="K127" i="2"/>
  <c r="K137" i="2"/>
  <c r="K148" i="2"/>
  <c r="K161" i="2"/>
  <c r="K174" i="2"/>
  <c r="K187" i="2"/>
  <c r="K200" i="2"/>
  <c r="M4" i="2"/>
  <c r="M20" i="2"/>
  <c r="M36" i="2"/>
  <c r="M52" i="2"/>
  <c r="M68" i="2"/>
  <c r="M84" i="2"/>
  <c r="M100" i="2"/>
  <c r="M119" i="2"/>
  <c r="M158" i="2"/>
  <c r="L6" i="2"/>
  <c r="L14" i="2"/>
  <c r="L22" i="2"/>
  <c r="L30" i="2"/>
  <c r="L38" i="2"/>
  <c r="L46" i="2"/>
  <c r="L54" i="2"/>
  <c r="L62" i="2"/>
  <c r="L70" i="2"/>
  <c r="L78" i="2"/>
  <c r="L86" i="2"/>
  <c r="L94" i="2"/>
  <c r="L102" i="2"/>
  <c r="L110" i="2"/>
  <c r="L118" i="2"/>
  <c r="L126" i="2"/>
  <c r="L134" i="2"/>
  <c r="L142" i="2"/>
  <c r="L150" i="2"/>
  <c r="L158" i="2"/>
  <c r="L166" i="2"/>
  <c r="L174" i="2"/>
  <c r="L182" i="2"/>
  <c r="L190" i="2"/>
  <c r="L198" i="2"/>
  <c r="P11" i="2"/>
  <c r="P43" i="2"/>
  <c r="P75" i="2"/>
  <c r="P107" i="2"/>
  <c r="P139" i="2"/>
  <c r="P171" i="2"/>
  <c r="L2" i="2"/>
  <c r="L9" i="2"/>
  <c r="L17" i="2"/>
  <c r="L25" i="2"/>
  <c r="L33" i="2"/>
  <c r="L41" i="2"/>
  <c r="L49" i="2"/>
  <c r="L57" i="2"/>
  <c r="L65" i="2"/>
  <c r="L73" i="2"/>
  <c r="L81" i="2"/>
  <c r="L89" i="2"/>
  <c r="L97" i="2"/>
  <c r="L105" i="2"/>
  <c r="L113" i="2"/>
  <c r="L121" i="2"/>
  <c r="L129" i="2"/>
  <c r="L137" i="2"/>
  <c r="L145" i="2"/>
  <c r="L153" i="2"/>
  <c r="L161" i="2"/>
  <c r="L169" i="2"/>
  <c r="L177" i="2"/>
  <c r="L185" i="2"/>
  <c r="L193" i="2"/>
  <c r="L201" i="2"/>
  <c r="P26" i="2"/>
  <c r="P58" i="2"/>
  <c r="P90" i="2"/>
  <c r="P122" i="2"/>
  <c r="P154" i="2"/>
  <c r="P186" i="2"/>
  <c r="L10" i="2"/>
  <c r="L18" i="2"/>
  <c r="L26" i="2"/>
  <c r="L34" i="2"/>
  <c r="L42" i="2"/>
  <c r="L50" i="2"/>
  <c r="L58" i="2"/>
  <c r="L66" i="2"/>
  <c r="L74" i="2"/>
  <c r="L82" i="2"/>
  <c r="L90" i="2"/>
  <c r="L98" i="2"/>
  <c r="L106" i="2"/>
  <c r="L114" i="2"/>
  <c r="L122" i="2"/>
  <c r="L130" i="2"/>
  <c r="L138" i="2"/>
  <c r="L146" i="2"/>
  <c r="L154" i="2"/>
  <c r="L162" i="2"/>
  <c r="L170" i="2"/>
  <c r="L178" i="2"/>
  <c r="L186" i="2"/>
  <c r="L194" i="2"/>
  <c r="P27" i="2"/>
  <c r="P59" i="2"/>
  <c r="P91" i="2"/>
  <c r="P123" i="2"/>
  <c r="P155" i="2"/>
  <c r="P201" i="2"/>
  <c r="P193" i="2"/>
  <c r="P185" i="2"/>
  <c r="P177" i="2"/>
  <c r="P169" i="2"/>
  <c r="P161" i="2"/>
  <c r="P153" i="2"/>
  <c r="P145" i="2"/>
  <c r="P137" i="2"/>
  <c r="P129" i="2"/>
  <c r="P121" i="2"/>
  <c r="P113" i="2"/>
  <c r="P105" i="2"/>
  <c r="P97" i="2"/>
  <c r="P89" i="2"/>
  <c r="P81" i="2"/>
  <c r="P73" i="2"/>
  <c r="P65" i="2"/>
  <c r="P57" i="2"/>
  <c r="P49" i="2"/>
  <c r="P41" i="2"/>
  <c r="P33" i="2"/>
  <c r="P25" i="2"/>
  <c r="P17" i="2"/>
  <c r="P9" i="2"/>
  <c r="P2" i="2"/>
  <c r="P200" i="2"/>
  <c r="P192" i="2"/>
  <c r="P184" i="2"/>
  <c r="P176" i="2"/>
  <c r="P168" i="2"/>
  <c r="P160" i="2"/>
  <c r="P152" i="2"/>
  <c r="P144" i="2"/>
  <c r="P136" i="2"/>
  <c r="P128" i="2"/>
  <c r="P120" i="2"/>
  <c r="P112" i="2"/>
  <c r="P104" i="2"/>
  <c r="P96" i="2"/>
  <c r="P88" i="2"/>
  <c r="P80" i="2"/>
  <c r="P72" i="2"/>
  <c r="P64" i="2"/>
  <c r="P56" i="2"/>
  <c r="P48" i="2"/>
  <c r="P40" i="2"/>
  <c r="P32" i="2"/>
  <c r="P24" i="2"/>
  <c r="P16" i="2"/>
  <c r="P8" i="2"/>
  <c r="P199" i="2"/>
  <c r="P191" i="2"/>
  <c r="P183" i="2"/>
  <c r="P175" i="2"/>
  <c r="P167" i="2"/>
  <c r="P159" i="2"/>
  <c r="P151" i="2"/>
  <c r="P143" i="2"/>
  <c r="P135" i="2"/>
  <c r="P127" i="2"/>
  <c r="P119" i="2"/>
  <c r="P111" i="2"/>
  <c r="P103" i="2"/>
  <c r="P95" i="2"/>
  <c r="P87" i="2"/>
  <c r="P79" i="2"/>
  <c r="P71" i="2"/>
  <c r="P63" i="2"/>
  <c r="P55" i="2"/>
  <c r="P47" i="2"/>
  <c r="P39" i="2"/>
  <c r="P31" i="2"/>
  <c r="P23" i="2"/>
  <c r="P15" i="2"/>
  <c r="P7" i="2"/>
  <c r="P198" i="2"/>
  <c r="P190" i="2"/>
  <c r="P182" i="2"/>
  <c r="P174" i="2"/>
  <c r="P166" i="2"/>
  <c r="P158" i="2"/>
  <c r="P150" i="2"/>
  <c r="P142" i="2"/>
  <c r="P134" i="2"/>
  <c r="P126" i="2"/>
  <c r="P118" i="2"/>
  <c r="P110" i="2"/>
  <c r="P102" i="2"/>
  <c r="P94" i="2"/>
  <c r="P86" i="2"/>
  <c r="P78" i="2"/>
  <c r="P70" i="2"/>
  <c r="P62" i="2"/>
  <c r="P54" i="2"/>
  <c r="P46" i="2"/>
  <c r="P38" i="2"/>
  <c r="P30" i="2"/>
  <c r="P22" i="2"/>
  <c r="P14" i="2"/>
  <c r="P6" i="2"/>
  <c r="P197" i="2"/>
  <c r="P189" i="2"/>
  <c r="P181" i="2"/>
  <c r="P173" i="2"/>
  <c r="P165" i="2"/>
  <c r="P157" i="2"/>
  <c r="P149" i="2"/>
  <c r="P141" i="2"/>
  <c r="P133" i="2"/>
  <c r="P125" i="2"/>
  <c r="P117" i="2"/>
  <c r="P109" i="2"/>
  <c r="P101" i="2"/>
  <c r="P93" i="2"/>
  <c r="P85" i="2"/>
  <c r="P77" i="2"/>
  <c r="P69" i="2"/>
  <c r="P61" i="2"/>
  <c r="P53" i="2"/>
  <c r="P45" i="2"/>
  <c r="P37" i="2"/>
  <c r="P29" i="2"/>
  <c r="P21" i="2"/>
  <c r="P13" i="2"/>
  <c r="P5" i="2"/>
  <c r="P196" i="2"/>
  <c r="P188" i="2"/>
  <c r="P180" i="2"/>
  <c r="P172" i="2"/>
  <c r="P164" i="2"/>
  <c r="P156" i="2"/>
  <c r="P148" i="2"/>
  <c r="P140" i="2"/>
  <c r="P132" i="2"/>
  <c r="P124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4" i="2"/>
  <c r="P34" i="2"/>
  <c r="P66" i="2"/>
  <c r="P98" i="2"/>
  <c r="P130" i="2"/>
  <c r="P162" i="2"/>
  <c r="P194" i="2"/>
  <c r="L4" i="2"/>
  <c r="L12" i="2"/>
  <c r="L20" i="2"/>
  <c r="L28" i="2"/>
  <c r="L36" i="2"/>
  <c r="L44" i="2"/>
  <c r="L52" i="2"/>
  <c r="L60" i="2"/>
  <c r="L68" i="2"/>
  <c r="L76" i="2"/>
  <c r="L84" i="2"/>
  <c r="L92" i="2"/>
  <c r="L100" i="2"/>
  <c r="L108" i="2"/>
  <c r="L116" i="2"/>
  <c r="L124" i="2"/>
  <c r="L132" i="2"/>
  <c r="L140" i="2"/>
  <c r="L148" i="2"/>
  <c r="L156" i="2"/>
  <c r="L164" i="2"/>
  <c r="L172" i="2"/>
  <c r="L180" i="2"/>
  <c r="L188" i="2"/>
  <c r="P3" i="2"/>
  <c r="P35" i="2"/>
  <c r="P67" i="2"/>
  <c r="P99" i="2"/>
  <c r="P131" i="2"/>
  <c r="P163" i="2"/>
  <c r="P195" i="2"/>
  <c r="N6" i="2"/>
  <c r="N14" i="2"/>
  <c r="N22" i="2"/>
  <c r="N30" i="2"/>
  <c r="N38" i="2"/>
  <c r="N46" i="2"/>
  <c r="N54" i="2"/>
  <c r="N62" i="2"/>
  <c r="N70" i="2"/>
  <c r="N78" i="2"/>
  <c r="N86" i="2"/>
  <c r="N94" i="2"/>
  <c r="N102" i="2"/>
  <c r="N110" i="2"/>
  <c r="N118" i="2"/>
  <c r="N126" i="2"/>
  <c r="N134" i="2"/>
  <c r="N142" i="2"/>
  <c r="N150" i="2"/>
  <c r="N158" i="2"/>
  <c r="N166" i="2"/>
  <c r="N174" i="2"/>
  <c r="N182" i="2"/>
  <c r="N190" i="2"/>
  <c r="N198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N7" i="2"/>
  <c r="N15" i="2"/>
  <c r="N23" i="2"/>
  <c r="N31" i="2"/>
  <c r="N39" i="2"/>
  <c r="N47" i="2"/>
  <c r="N55" i="2"/>
  <c r="N63" i="2"/>
  <c r="N71" i="2"/>
  <c r="N79" i="2"/>
  <c r="N87" i="2"/>
  <c r="N95" i="2"/>
  <c r="N103" i="2"/>
  <c r="N111" i="2"/>
  <c r="N119" i="2"/>
  <c r="N127" i="2"/>
  <c r="N135" i="2"/>
  <c r="N143" i="2"/>
  <c r="N151" i="2"/>
  <c r="N159" i="2"/>
  <c r="N167" i="2"/>
  <c r="N175" i="2"/>
  <c r="N183" i="2"/>
  <c r="N191" i="2"/>
  <c r="N199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N8" i="2"/>
  <c r="N16" i="2"/>
  <c r="N24" i="2"/>
  <c r="N32" i="2"/>
  <c r="N40" i="2"/>
  <c r="N48" i="2"/>
  <c r="N56" i="2"/>
  <c r="N64" i="2"/>
  <c r="N72" i="2"/>
  <c r="N80" i="2"/>
  <c r="N88" i="2"/>
  <c r="N96" i="2"/>
  <c r="N104" i="2"/>
  <c r="N112" i="2"/>
  <c r="N120" i="2"/>
  <c r="N128" i="2"/>
  <c r="N136" i="2"/>
  <c r="N144" i="2"/>
  <c r="N152" i="2"/>
  <c r="N160" i="2"/>
  <c r="N168" i="2"/>
  <c r="N176" i="2"/>
  <c r="N184" i="2"/>
  <c r="N192" i="2"/>
  <c r="N200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N2" i="2"/>
  <c r="N9" i="2"/>
  <c r="N17" i="2"/>
  <c r="N25" i="2"/>
  <c r="N33" i="2"/>
  <c r="N41" i="2"/>
  <c r="N49" i="2"/>
  <c r="N57" i="2"/>
  <c r="N65" i="2"/>
  <c r="N73" i="2"/>
  <c r="N81" i="2"/>
  <c r="N89" i="2"/>
  <c r="N97" i="2"/>
  <c r="N105" i="2"/>
  <c r="N113" i="2"/>
  <c r="N121" i="2"/>
  <c r="N129" i="2"/>
  <c r="N137" i="2"/>
  <c r="N145" i="2"/>
  <c r="N153" i="2"/>
  <c r="N161" i="2"/>
  <c r="N169" i="2"/>
  <c r="N177" i="2"/>
  <c r="N185" i="2"/>
  <c r="N193" i="2"/>
  <c r="N201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N10" i="2"/>
  <c r="N18" i="2"/>
  <c r="N26" i="2"/>
  <c r="N34" i="2"/>
  <c r="N42" i="2"/>
  <c r="N50" i="2"/>
  <c r="N58" i="2"/>
  <c r="N66" i="2"/>
  <c r="N74" i="2"/>
  <c r="N82" i="2"/>
  <c r="N90" i="2"/>
  <c r="N98" i="2"/>
  <c r="N106" i="2"/>
  <c r="N114" i="2"/>
  <c r="N122" i="2"/>
  <c r="N130" i="2"/>
  <c r="N138" i="2"/>
  <c r="N146" i="2"/>
  <c r="N154" i="2"/>
  <c r="N162" i="2"/>
  <c r="N170" i="2"/>
  <c r="N178" i="2"/>
  <c r="N186" i="2"/>
  <c r="O2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pdf-to-cad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Elige de la lista: AGUA, ALCANTARILLADO, DRENAJE, GAS, ELECTRICO o TELECOM.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Elige de la lista. Los tipos se crean en la hoja TIPOS (una fila nueva por tipo).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pdf-to-cad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Elige de la lista: AGUA, ALCANTARILLADO, DRENAJE, GAS, ELECTRICO o TELECOM.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Elige de la lista. Los tipos se crean en la hoja TIPOS (una fila nueva por tipo).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Diámetros permitidos, uno por uno (en pulgadas).
Varios valores separados con punto y coma: 6; 8; 12. Decimales con coma: 1,5.
Si es un rango (de 0,5 a 2), deja esta vacía y usa MIN y MAX.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Rango de diámetros: el más chico permitido (pulgadas).
Un solo número. Vacía = sin mínimo. El valor escrito también vale (es «desde»).
Ejemplo «de 0,5 a 2»: MIN 0,5 y MAX 2. «Más de 4»: MIN 4, MAX vacía.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Rango de diámetros: el más grande permitido (pulgadas).
Un solo número. Vacía = sin máximo. El valor escrito también vale (es «hasta»).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Texto libre: en qué caso vale esta fila (por ejemplo «calles sin salida»). La app lo muestra como nota. Vacía = sin restricción.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pdf-to-cad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Elige de la lista: AGUA, ALCANTARILLADO, DRENAJE, GAS, ELECTRICO o TELECOM.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Y, T, Cruz, Codo o T - Domiciliaria.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Tipo de la tubería PRINCIPAL donde se permite el accesorio (elige de la lista). En el Codo: el tipo donde se exigen sus ángulos. Vacía = sin restricción.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Diámetros permitidos para la tubería principal (pulgadas).
Varios valores separados con punto y coma: 6; 8; 12. Decimales con coma: 1,5.
Vacía = sin restricción.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Tipo de la tubería principal donde el accesorio NO se permite (elige de la lista). Vacía = sin restricción.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Diámetro del ramal comparado con la principal, en pasos de la lista «DIAMETRO PRINCIPAL»: -1 = un tamaño menor (12 → 8). Vacía = sin restricción.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Solo para el Codo: ángulos permitidos en grados.
Varios valores separados con punto y coma: 6; 8; 12. Decimales con coma: 1,5.
Vacía = sin restricción.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pdf-to-cad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Elige de la lista: AGUA, ALCANTARILLADO, DRENAJE, GAS, ELECTRICO o TELECOM.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SIMPLE = tubería normal. BANCODUCTO = aún no se revisa en la app.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Elige de la lista. Los tipos se crean en la hoja TIPOS (una fila nueva por tipo).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Rango de amperaje donde vale esta fila: el mínimo.
Un solo número. Vacía = sin mínimo. El valor escrito también vale (es «desde»).
Ejemplo «de 0 a 320»: MIN 0, MAX 320. «400 o más»: MIN 400, MAX vacía.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Rango de amperaje donde vale esta fila: el máximo.
Un solo número. Vacía = sin máximo. El valor escrito también vale (es «hasta»).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Rango de largo de la línea donde vale esta fila: el mínimo (pies).
Un solo número. Vacía = sin mínimo. El valor escrito también vale (es «desde»).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Rango de largo de la línea donde vale esta fila: el máximo (pies).
Un solo número. Vacía = sin máximo. El valor escrito también vale (es «hasta»).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Diámetro obligatorio (pulgadas). Si hay varios válidos, sepáralos con «;». Vacía = sin restricción.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Diámetro más chico permitido (pulgadas).
Un solo número. Vacía = sin mínimo. El valor escrito también vale (es «desde»).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Diámetro más grande permitido (pulgadas).
Un solo número. Vacía = sin máximo. El valor escrito también vale (es «hasta»).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Radio más chico permitido para las curvas de la línea (pies).
Un solo número. Vacía = sin mínimo. El valor escrito también vale (es «desde»).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Radio más grande permitido para las curvas de la línea (pies).
Un solo número. Vacía = sin máximo. El valor escrito también vale (es «hasta»).</t>
        </r>
      </text>
    </comment>
  </commentList>
</comments>
</file>

<file path=xl/sharedStrings.xml><?xml version="1.0" encoding="utf-8"?>
<sst xmlns="http://schemas.openxmlformats.org/spreadsheetml/2006/main" count="175" uniqueCount="92">
  <si>
    <t>Cómo llenar este Excel de normativas</t>
  </si>
  <si>
    <t>Una fila = una regla. Pasa el mouse por el título de cada columna para ver qué va ahí.</t>
  </si>
  <si>
    <t>1. Celda vacía</t>
  </si>
  <si>
    <t>Vacía = sin restricción (o no aplica). No escribas «-», «N/A» ni «todos».</t>
  </si>
  <si>
    <t>2. Un número</t>
  </si>
  <si>
    <t>Solo el número, sin unidades ni símbolos: 4   (no 4", no 4 in).</t>
  </si>
  <si>
    <t>Decimales con coma o con punto: 1,5   o   1.5</t>
  </si>
  <si>
    <t>3. Varios valores sueltos (lista)</t>
  </si>
  <si>
    <t>Sepáralos con punto y coma: 6; 8; 12; 16</t>
  </si>
  <si>
    <t>Sirve para DIAMETRO (in), DIAMETRO PRINCIPAL, DIAMETRO FIJO y ANGULOS PERMITIDOS.</t>
  </si>
  <si>
    <t>4. Rangos: usa las dos columnas MIN y MAX</t>
  </si>
  <si>
    <t>Nunca escribas el rango en una sola celda (no «0.5-2», no «&gt;4», no «&gt;=400»).</t>
  </si>
  <si>
    <t>De 0,5 a 2   →   MIN = 0,5    MAX = 2</t>
  </si>
  <si>
    <t>4 o más        →   MIN = 4      MAX = vacía</t>
  </si>
  <si>
    <t>Hasta 100      →   MIN = vacía  MAX = 100</t>
  </si>
  <si>
    <t>Los dos extremos cuentan: MIN 0 y MAX 320 incluye 0 y 320.</t>
  </si>
  <si>
    <t>«Más de 4» (sin el 4): pon como MIN el siguiente tamaño que sí vale, por ejemplo 6.</t>
  </si>
  <si>
    <t>5. Tipos</t>
  </si>
  <si>
    <t>Los tipos (Distribución principal, Servicio residencial…) se crean en la hoja TIPOS: una fila con su UTILIDAD y su TIPO. Después aparecen en las listas de las otras hojas.</t>
  </si>
  <si>
    <t>6. Qué hojas lee la app</t>
  </si>
  <si>
    <t>Solo TIPOS, PRESION-DIAMETROS, PRESION-ACCESORIOS y ELECT-TELECOM.</t>
  </si>
  <si>
    <t>Esta hoja y cualquier otra (por ejemplo «auxiliar», para ideas y notas) NO se importan: puedes escribir ahí lo que quieras.</t>
  </si>
  <si>
    <t>No cambies los títulos de las columnas: la app las busca por su nombre.</t>
  </si>
  <si>
    <t>7. Al importar</t>
  </si>
  <si>
    <t>En la app: Normativas → Normativas de diseño → «Importar Excel…». Si una celda no se entiende, la app te dice cuál (hoja, fila y columna) y no la usa.</t>
  </si>
  <si>
    <t>UTILIDAD</t>
  </si>
  <si>
    <t>TIPO</t>
  </si>
  <si>
    <t>AGUA</t>
  </si>
  <si>
    <t>ALCANTARILLADO</t>
  </si>
  <si>
    <t>DRENAJE</t>
  </si>
  <si>
    <t>GAS</t>
  </si>
  <si>
    <t>ELECTRICO</t>
  </si>
  <si>
    <t>TELECOM</t>
  </si>
  <si>
    <t>DISTRIBUCION PRINCIPAL</t>
  </si>
  <si>
    <t>ALIMENTACION Y CONDUCCION</t>
  </si>
  <si>
    <t>INSTALACION DOMICILIARIA</t>
  </si>
  <si>
    <t>SERVICIO RESIDENCIAL</t>
  </si>
  <si>
    <t>SERVICIO COMERCIAL/MULTIFAMILIAR</t>
  </si>
  <si>
    <t>DIMENSIONAMIENTO RESIDENCIAL</t>
  </si>
  <si>
    <t>DIAMETRO (in)</t>
  </si>
  <si>
    <t>DIAMETRO MIN (in)</t>
  </si>
  <si>
    <t>DIAMETRO MAX (in)</t>
  </si>
  <si>
    <t>SOLO SE PERMITE EN</t>
  </si>
  <si>
    <t>6; 8; 12; 16</t>
  </si>
  <si>
    <t>TUBERIA DE DISTRIBUCION PRINCIPAL</t>
  </si>
  <si>
    <t>CALLES SIN SALIDA (cul-de-sacs), donde no necesiten hidrantes mayores a 2 pulgadas</t>
  </si>
  <si>
    <t>16; 20; 24</t>
  </si>
  <si>
    <t>LINEAS DE ALIMENTACION Y CONDUCCION</t>
  </si>
  <si>
    <t>1; 1,5; 2</t>
  </si>
  <si>
    <t>INSTALACIONES DOMICILIARIAS</t>
  </si>
  <si>
    <t>ACCESORIO</t>
  </si>
  <si>
    <t>PROHIBIDO USO</t>
  </si>
  <si>
    <t>DIAMETRO RAMAL DISTRIBUCION</t>
  </si>
  <si>
    <t>ANGULOS PERMITIDOS</t>
  </si>
  <si>
    <t>Y</t>
  </si>
  <si>
    <t>T</t>
  </si>
  <si>
    <t>Cruz</t>
  </si>
  <si>
    <t>6; 8</t>
  </si>
  <si>
    <t>Codo</t>
  </si>
  <si>
    <t>11,25; 22,5; 45; 90</t>
  </si>
  <si>
    <t>T - Domiciliaria</t>
  </si>
  <si>
    <t>45; 90</t>
  </si>
  <si>
    <t>ESTRUCTURA</t>
  </si>
  <si>
    <t>AMPERAJE MIN (A)</t>
  </si>
  <si>
    <t>AMPERAJE MAX (A)</t>
  </si>
  <si>
    <t>LONGITUD MIN (pies)</t>
  </si>
  <si>
    <t>LONGITUD MAX (pies)</t>
  </si>
  <si>
    <t>DIAMETRO FIJO (in)</t>
  </si>
  <si>
    <t>RADIO CURVA MIN (pies)</t>
  </si>
  <si>
    <t>RADIO CURVA MAX (pies)</t>
  </si>
  <si>
    <t>SIMPLE</t>
  </si>
  <si>
    <t>BANCODUCTOS ELECTRICAS - SEPARACIONES</t>
  </si>
  <si>
    <t>Diámetro del ducto</t>
  </si>
  <si>
    <t>Separación máxima entre espaciadores</t>
  </si>
  <si>
    <t>3"</t>
  </si>
  <si>
    <t>8 pies</t>
  </si>
  <si>
    <t>4" a 6"</t>
  </si>
  <si>
    <t>6 pies</t>
  </si>
  <si>
    <t>Elect-telcom</t>
  </si>
  <si>
    <t>AMPERAJE (A)</t>
  </si>
  <si>
    <t>LONGITUD RANGO (pies)</t>
  </si>
  <si>
    <t>BANCODUCTO</t>
  </si>
  <si>
    <t>5; 6,5</t>
  </si>
  <si>
    <t>4; 5</t>
  </si>
  <si>
    <t>DIAMETRO PRINCIPAL (in)</t>
  </si>
  <si>
    <t>0,5; 1; 1,5; 2</t>
  </si>
  <si>
    <t>2; 4</t>
  </si>
  <si>
    <t>USO RESIDENCIAL</t>
  </si>
  <si>
    <t>USO COMERCIAL O MULTIFAMILIAR</t>
  </si>
  <si>
    <t>TUBERIAS PRINCIPALES</t>
  </si>
  <si>
    <t>RADIO CURVA FIJO (pies)</t>
  </si>
  <si>
    <t>3;4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</si>
</sst>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name val="Calibri"/>
    </font>
    <font>
      <b/>
      <sz val="12"/>
      <color rgb="FF1F5C99"/>
      <name val="Calibri"/>
    </font>
    <font>
      <sz val="11"/>
      <name val="Consolas"/>
    </font>
    <font>
      <b/>
      <sz val="10"/>
      <color rgb="FFFFFFFF"/>
      <name val="Calibri"/>
      <family val="2"/>
    </font>
    <font>
      <sz val="9.5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F4FB"/>
      </patternFill>
    </fill>
    <fill>
      <patternFill patternType="solid">
        <fgColor rgb="FF1F4E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" fontId="0" fillId="6" borderId="5" xfId="0" applyNumberForma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ipos" displayName="TablaTipos" ref="A1:B10">
  <autoFilter ref="A1:B10" xr:uid="{00000000-0009-0000-0100-000001000000}"/>
  <tableColumns count="2">
    <tableColumn id="1" xr3:uid="{00000000-0010-0000-0000-000001000000}" name="UTILIDAD"/>
    <tableColumn id="2" xr3:uid="{00000000-0010-0000-0000-000002000000}" name="TIPO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PresionDiametros" displayName="TablaPresionDiametros" ref="A1:F8">
  <autoFilter ref="A1:F8" xr:uid="{00000000-0009-0000-0100-000002000000}"/>
  <tableColumns count="6">
    <tableColumn id="1" xr3:uid="{00000000-0010-0000-0100-000001000000}" name="UTILIDAD"/>
    <tableColumn id="2" xr3:uid="{00000000-0010-0000-0100-000002000000}" name="TIPO"/>
    <tableColumn id="3" xr3:uid="{00000000-0010-0000-0100-000003000000}" name="DIAMETRO (in)"/>
    <tableColumn id="4" xr3:uid="{00000000-0010-0000-0100-000004000000}" name="DIAMETRO MIN (in)"/>
    <tableColumn id="5" xr3:uid="{00000000-0010-0000-0100-000005000000}" name="DIAMETRO MAX (in)"/>
    <tableColumn id="6" xr3:uid="{00000000-0010-0000-0100-000006000000}" name="SOLO SE PERMITE EN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sionAccesorios" displayName="TablaPresionAccesorios" ref="A1:G7">
  <autoFilter ref="A1:G7" xr:uid="{00000000-0009-0000-0100-000003000000}"/>
  <tableColumns count="7">
    <tableColumn id="1" xr3:uid="{00000000-0010-0000-0200-000001000000}" name="UTILIDAD"/>
    <tableColumn id="2" xr3:uid="{00000000-0010-0000-0200-000002000000}" name="ACCESORIO"/>
    <tableColumn id="3" xr3:uid="{00000000-0010-0000-0200-000003000000}" name="SOLO SE PERMITE EN"/>
    <tableColumn id="4" xr3:uid="{00000000-0010-0000-0200-000004000000}" name="DIAMETRO PRINCIPAL (in)"/>
    <tableColumn id="5" xr3:uid="{00000000-0010-0000-0200-000005000000}" name="PROHIBIDO USO"/>
    <tableColumn id="6" xr3:uid="{00000000-0010-0000-0200-000006000000}" name="DIAMETRO RAMAL DISTRIBUCION"/>
    <tableColumn id="7" xr3:uid="{00000000-0010-0000-0200-000007000000}" name="ANGULOS PERMITIDOS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lectricaTelecom" displayName="TablaElectricaTelecom" ref="A1:M9">
  <autoFilter ref="A1:M9" xr:uid="{00000000-0009-0000-0100-000004000000}"/>
  <tableColumns count="13">
    <tableColumn id="1" xr3:uid="{00000000-0010-0000-0300-000001000000}" name="UTILIDAD"/>
    <tableColumn id="2" xr3:uid="{00000000-0010-0000-0300-000002000000}" name="ESTRUCTURA"/>
    <tableColumn id="3" xr3:uid="{00000000-0010-0000-0300-000003000000}" name="TIPO"/>
    <tableColumn id="4" xr3:uid="{00000000-0010-0000-0300-000004000000}" name="AMPERAJE MIN (A)"/>
    <tableColumn id="5" xr3:uid="{00000000-0010-0000-0300-000005000000}" name="AMPERAJE MAX (A)"/>
    <tableColumn id="6" xr3:uid="{00000000-0010-0000-0300-000006000000}" name="LONGITUD MIN (pies)"/>
    <tableColumn id="7" xr3:uid="{00000000-0010-0000-0300-000007000000}" name="LONGITUD MAX (pies)"/>
    <tableColumn id="8" xr3:uid="{00000000-0010-0000-0300-000008000000}" name="DIAMETRO FIJO (in)"/>
    <tableColumn id="9" xr3:uid="{00000000-0010-0000-0300-000009000000}" name="DIAMETRO MIN (in)"/>
    <tableColumn id="10" xr3:uid="{00000000-0010-0000-0300-00000A000000}" name="DIAMETRO MAX (in)"/>
    <tableColumn id="11" xr3:uid="{00000000-0010-0000-0300-00000B000000}" name="RADIO CURVA MIN (pies)"/>
    <tableColumn id="12" xr3:uid="{00000000-0010-0000-0300-00000C000000}" name="RADIO CURVA MAX (pies)"/>
    <tableColumn id="13" xr3:uid="{D7A88908-6571-4F72-80E5-3C6983662175}" name="RADIO CURVA FIJO (pies)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1"/>
  <sheetViews>
    <sheetView zoomScale="160" zoomScaleNormal="160" workbookViewId="0">
      <pane ySplit="1" topLeftCell="A2" activePane="bottomLeft" state="frozen"/>
      <selection pane="bottomLeft" activeCell="A7" sqref="A5:B7"/>
    </sheetView>
  </sheetViews>
  <sheetFormatPr baseColWidth="10" defaultColWidth="8.88671875" defaultRowHeight="14.4" x14ac:dyDescent="0.3"/>
  <cols>
    <col min="1" max="1" width="18" customWidth="1"/>
    <col min="2" max="2" width="34" customWidth="1"/>
    <col min="11" max="16" width="13" hidden="1" customWidth="1"/>
  </cols>
  <sheetData>
    <row r="1" spans="1:16" x14ac:dyDescent="0.3">
      <c r="A1" s="5" t="s">
        <v>25</v>
      </c>
      <c r="B1" s="5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 spans="1:16" x14ac:dyDescent="0.3">
      <c r="A2" t="s">
        <v>27</v>
      </c>
      <c r="B2" t="s">
        <v>33</v>
      </c>
      <c r="K2" t="str">
        <f t="array" ref="K2:K201">_xlfn._xlws.SORT(_xlfn.UNIQUE(_xlfn._xlws.FILTER(TablaTipos[TIPO],TablaTipos[UTILIDAD]=K$1,"")))</f>
        <v>ALIMENTACION Y CONDUCCION</v>
      </c>
      <c r="L2" t="str">
        <f t="array" ref="L2:L201">_xlfn._xlws.SORT(_xlfn.UNIQUE(_xlfn._xlws.FILTER(TablaTipos[TIPO],TablaTipos[UTILIDAD]=L$1,"")))</f>
        <v/>
      </c>
      <c r="M2" t="str">
        <f t="array" ref="M2:M201">_xlfn._xlws.SORT(_xlfn.UNIQUE(_xlfn._xlws.FILTER(TablaTipos[TIPO],TablaTipos[UTILIDAD]=M$1,"")))</f>
        <v/>
      </c>
      <c r="N2" t="str">
        <f t="array" ref="N2:N201">_xlfn._xlws.SORT(_xlfn.UNIQUE(_xlfn._xlws.FILTER(TablaTipos[TIPO],TablaTipos[UTILIDAD]=N$1,"")))</f>
        <v>DISTRIBUCION PRINCIPAL</v>
      </c>
      <c r="O2" t="str">
        <f t="array" ref="O2:O201">_xlfn._xlws.SORT(_xlfn.UNIQUE(_xlfn._xlws.FILTER(TablaTipos[TIPO],TablaTipos[UTILIDAD]=O$1,"")))</f>
        <v>DIMENSIONAMIENTO RESIDENCIAL</v>
      </c>
      <c r="P2" t="str">
        <f t="array" ref="P2:P201">_xlfn._xlws.SORT(_xlfn.UNIQUE(_xlfn._xlws.FILTER(TablaTipos[TIPO],TablaTipos[UTILIDAD]=P$1,"")))</f>
        <v>DISTRIBUCION PRINCIPAL</v>
      </c>
    </row>
    <row r="3" spans="1:16" x14ac:dyDescent="0.3">
      <c r="A3" t="s">
        <v>27</v>
      </c>
      <c r="B3" t="s">
        <v>34</v>
      </c>
      <c r="K3" t="str">
        <v>DISTRIBUCION PRINCIPAL</v>
      </c>
      <c r="L3" t="str">
        <v/>
      </c>
      <c r="M3" t="str">
        <v/>
      </c>
      <c r="N3" t="str">
        <v>SERVICIO COMERCIAL/MULTIFAMILIAR</v>
      </c>
      <c r="O3" t="str">
        <v>DISTRIBUCION PRINCIPAL</v>
      </c>
      <c r="P3" t="str">
        <v>DISTRIBUCION PRINCIPAL</v>
      </c>
    </row>
    <row r="4" spans="1:16" x14ac:dyDescent="0.3">
      <c r="A4" t="s">
        <v>27</v>
      </c>
      <c r="B4" t="s">
        <v>35</v>
      </c>
      <c r="K4" t="str">
        <v>INSTALACION DOMICILIARIA</v>
      </c>
      <c r="L4" t="str">
        <v/>
      </c>
      <c r="M4" t="str">
        <v/>
      </c>
      <c r="N4" t="str">
        <v>SERVICIO RESIDENCIAL</v>
      </c>
      <c r="O4" t="e">
        <v>#N/A</v>
      </c>
      <c r="P4" t="str">
        <v>DISTRIBUCION PRINCIPAL</v>
      </c>
    </row>
    <row r="5" spans="1:16" x14ac:dyDescent="0.3">
      <c r="A5" t="s">
        <v>30</v>
      </c>
      <c r="B5" t="s">
        <v>36</v>
      </c>
      <c r="K5" t="e">
        <v>#N/A</v>
      </c>
      <c r="L5" t="str">
        <v/>
      </c>
      <c r="M5" t="str">
        <v/>
      </c>
      <c r="N5" t="e">
        <v>#N/A</v>
      </c>
      <c r="O5" t="e">
        <v>#N/A</v>
      </c>
      <c r="P5" t="str">
        <v>DISTRIBUCION PRINCIPAL</v>
      </c>
    </row>
    <row r="6" spans="1:16" x14ac:dyDescent="0.3">
      <c r="A6" t="s">
        <v>30</v>
      </c>
      <c r="B6" t="s">
        <v>37</v>
      </c>
      <c r="K6" t="e">
        <v>#N/A</v>
      </c>
      <c r="L6" t="str">
        <v/>
      </c>
      <c r="M6" t="str">
        <v/>
      </c>
      <c r="N6" t="e">
        <v>#N/A</v>
      </c>
      <c r="O6" t="e">
        <v>#N/A</v>
      </c>
      <c r="P6" t="str">
        <v>DISTRIBUCION PRINCIPAL</v>
      </c>
    </row>
    <row r="7" spans="1:16" x14ac:dyDescent="0.3">
      <c r="A7" t="s">
        <v>30</v>
      </c>
      <c r="B7" t="s">
        <v>33</v>
      </c>
      <c r="K7" t="e">
        <v>#N/A</v>
      </c>
      <c r="L7" t="str">
        <v/>
      </c>
      <c r="M7" t="str">
        <v/>
      </c>
      <c r="N7" t="e">
        <v>#N/A</v>
      </c>
      <c r="O7" t="e">
        <v>#N/A</v>
      </c>
      <c r="P7" t="str">
        <v>DISTRIBUCION PRINCIPAL</v>
      </c>
    </row>
    <row r="8" spans="1:16" x14ac:dyDescent="0.3">
      <c r="A8" t="s">
        <v>31</v>
      </c>
      <c r="B8" t="s">
        <v>33</v>
      </c>
      <c r="K8" t="e">
        <v>#N/A</v>
      </c>
      <c r="L8" t="str">
        <v/>
      </c>
      <c r="M8" t="str">
        <v/>
      </c>
      <c r="N8" t="e">
        <v>#N/A</v>
      </c>
      <c r="O8" t="e">
        <v>#N/A</v>
      </c>
      <c r="P8" t="str">
        <v>DISTRIBUCION PRINCIPAL</v>
      </c>
    </row>
    <row r="9" spans="1:16" x14ac:dyDescent="0.3">
      <c r="A9" t="s">
        <v>31</v>
      </c>
      <c r="B9" t="s">
        <v>38</v>
      </c>
      <c r="K9" t="e">
        <v>#N/A</v>
      </c>
      <c r="L9" t="str">
        <v/>
      </c>
      <c r="M9" t="str">
        <v/>
      </c>
      <c r="N9" t="e">
        <v>#N/A</v>
      </c>
      <c r="O9" t="e">
        <v>#N/A</v>
      </c>
      <c r="P9" t="str">
        <v>DISTRIBUCION PRINCIPAL</v>
      </c>
    </row>
    <row r="10" spans="1:16" x14ac:dyDescent="0.3">
      <c r="A10" t="s">
        <v>32</v>
      </c>
      <c r="B10" t="s">
        <v>33</v>
      </c>
      <c r="K10" t="e">
        <v>#N/A</v>
      </c>
      <c r="L10" t="str">
        <v/>
      </c>
      <c r="M10" t="str">
        <v/>
      </c>
      <c r="N10" t="e">
        <v>#N/A</v>
      </c>
      <c r="O10" t="e">
        <v>#N/A</v>
      </c>
      <c r="P10" t="str">
        <v>DISTRIBUCION PRINCIPAL</v>
      </c>
    </row>
    <row r="11" spans="1:16" x14ac:dyDescent="0.3">
      <c r="K11" t="e">
        <v>#N/A</v>
      </c>
      <c r="L11" t="str">
        <v/>
      </c>
      <c r="M11" t="str">
        <v/>
      </c>
      <c r="N11" t="e">
        <v>#N/A</v>
      </c>
      <c r="O11" t="e">
        <v>#N/A</v>
      </c>
      <c r="P11" t="str">
        <v>DISTRIBUCION PRINCIPAL</v>
      </c>
    </row>
    <row r="12" spans="1:16" x14ac:dyDescent="0.3">
      <c r="K12" t="e">
        <v>#N/A</v>
      </c>
      <c r="L12" t="str">
        <v/>
      </c>
      <c r="M12" t="str">
        <v/>
      </c>
      <c r="N12" t="e">
        <v>#N/A</v>
      </c>
      <c r="O12" t="e">
        <v>#N/A</v>
      </c>
      <c r="P12" t="str">
        <v>DISTRIBUCION PRINCIPAL</v>
      </c>
    </row>
    <row r="13" spans="1:16" x14ac:dyDescent="0.3">
      <c r="K13" t="e">
        <v>#N/A</v>
      </c>
      <c r="L13" t="str">
        <v/>
      </c>
      <c r="M13" t="str">
        <v/>
      </c>
      <c r="N13" t="e">
        <v>#N/A</v>
      </c>
      <c r="O13" t="e">
        <v>#N/A</v>
      </c>
      <c r="P13" t="str">
        <v>DISTRIBUCION PRINCIPAL</v>
      </c>
    </row>
    <row r="14" spans="1:16" x14ac:dyDescent="0.3">
      <c r="K14" t="e">
        <v>#N/A</v>
      </c>
      <c r="L14" t="str">
        <v/>
      </c>
      <c r="M14" t="str">
        <v/>
      </c>
      <c r="N14" t="e">
        <v>#N/A</v>
      </c>
      <c r="O14" t="e">
        <v>#N/A</v>
      </c>
      <c r="P14" t="str">
        <v>DISTRIBUCION PRINCIPAL</v>
      </c>
    </row>
    <row r="15" spans="1:16" x14ac:dyDescent="0.3">
      <c r="K15" t="e">
        <v>#N/A</v>
      </c>
      <c r="L15" t="str">
        <v/>
      </c>
      <c r="M15" t="str">
        <v/>
      </c>
      <c r="N15" t="e">
        <v>#N/A</v>
      </c>
      <c r="O15" t="e">
        <v>#N/A</v>
      </c>
      <c r="P15" t="str">
        <v>DISTRIBUCION PRINCIPAL</v>
      </c>
    </row>
    <row r="16" spans="1:16" x14ac:dyDescent="0.3">
      <c r="K16" t="e">
        <v>#N/A</v>
      </c>
      <c r="L16" t="str">
        <v/>
      </c>
      <c r="M16" t="str">
        <v/>
      </c>
      <c r="N16" t="e">
        <v>#N/A</v>
      </c>
      <c r="O16" t="e">
        <v>#N/A</v>
      </c>
      <c r="P16" t="str">
        <v>DISTRIBUCION PRINCIPAL</v>
      </c>
    </row>
    <row r="17" spans="11:16" x14ac:dyDescent="0.3">
      <c r="K17" t="e">
        <v>#N/A</v>
      </c>
      <c r="L17" t="str">
        <v/>
      </c>
      <c r="M17" t="str">
        <v/>
      </c>
      <c r="N17" t="e">
        <v>#N/A</v>
      </c>
      <c r="O17" t="e">
        <v>#N/A</v>
      </c>
      <c r="P17" t="str">
        <v>DISTRIBUCION PRINCIPAL</v>
      </c>
    </row>
    <row r="18" spans="11:16" x14ac:dyDescent="0.3">
      <c r="K18" t="e">
        <v>#N/A</v>
      </c>
      <c r="L18" t="str">
        <v/>
      </c>
      <c r="M18" t="str">
        <v/>
      </c>
      <c r="N18" t="e">
        <v>#N/A</v>
      </c>
      <c r="O18" t="e">
        <v>#N/A</v>
      </c>
      <c r="P18" t="str">
        <v>DISTRIBUCION PRINCIPAL</v>
      </c>
    </row>
    <row r="19" spans="11:16" x14ac:dyDescent="0.3">
      <c r="K19" t="e">
        <v>#N/A</v>
      </c>
      <c r="L19" t="str">
        <v/>
      </c>
      <c r="M19" t="str">
        <v/>
      </c>
      <c r="N19" t="e">
        <v>#N/A</v>
      </c>
      <c r="O19" t="e">
        <v>#N/A</v>
      </c>
      <c r="P19" t="str">
        <v>DISTRIBUCION PRINCIPAL</v>
      </c>
    </row>
    <row r="20" spans="11:16" x14ac:dyDescent="0.3">
      <c r="K20" t="e">
        <v>#N/A</v>
      </c>
      <c r="L20" t="str">
        <v/>
      </c>
      <c r="M20" t="str">
        <v/>
      </c>
      <c r="N20" t="e">
        <v>#N/A</v>
      </c>
      <c r="O20" t="e">
        <v>#N/A</v>
      </c>
      <c r="P20" t="str">
        <v>DISTRIBUCION PRINCIPAL</v>
      </c>
    </row>
    <row r="21" spans="11:16" x14ac:dyDescent="0.3">
      <c r="K21" t="e">
        <v>#N/A</v>
      </c>
      <c r="L21" t="str">
        <v/>
      </c>
      <c r="M21" t="str">
        <v/>
      </c>
      <c r="N21" t="e">
        <v>#N/A</v>
      </c>
      <c r="O21" t="e">
        <v>#N/A</v>
      </c>
      <c r="P21" t="str">
        <v>DISTRIBUCION PRINCIPAL</v>
      </c>
    </row>
    <row r="22" spans="11:16" x14ac:dyDescent="0.3">
      <c r="K22" t="e">
        <v>#N/A</v>
      </c>
      <c r="L22" t="str">
        <v/>
      </c>
      <c r="M22" t="str">
        <v/>
      </c>
      <c r="N22" t="e">
        <v>#N/A</v>
      </c>
      <c r="O22" t="e">
        <v>#N/A</v>
      </c>
      <c r="P22" t="str">
        <v>DISTRIBUCION PRINCIPAL</v>
      </c>
    </row>
    <row r="23" spans="11:16" x14ac:dyDescent="0.3">
      <c r="K23" t="e">
        <v>#N/A</v>
      </c>
      <c r="L23" t="str">
        <v/>
      </c>
      <c r="M23" t="str">
        <v/>
      </c>
      <c r="N23" t="e">
        <v>#N/A</v>
      </c>
      <c r="O23" t="e">
        <v>#N/A</v>
      </c>
      <c r="P23" t="str">
        <v>DISTRIBUCION PRINCIPAL</v>
      </c>
    </row>
    <row r="24" spans="11:16" x14ac:dyDescent="0.3">
      <c r="K24" t="e">
        <v>#N/A</v>
      </c>
      <c r="L24" t="str">
        <v/>
      </c>
      <c r="M24" t="str">
        <v/>
      </c>
      <c r="N24" t="e">
        <v>#N/A</v>
      </c>
      <c r="O24" t="e">
        <v>#N/A</v>
      </c>
      <c r="P24" t="str">
        <v>DISTRIBUCION PRINCIPAL</v>
      </c>
    </row>
    <row r="25" spans="11:16" x14ac:dyDescent="0.3">
      <c r="K25" t="e">
        <v>#N/A</v>
      </c>
      <c r="L25" t="str">
        <v/>
      </c>
      <c r="M25" t="str">
        <v/>
      </c>
      <c r="N25" t="e">
        <v>#N/A</v>
      </c>
      <c r="O25" t="e">
        <v>#N/A</v>
      </c>
      <c r="P25" t="str">
        <v>DISTRIBUCION PRINCIPAL</v>
      </c>
    </row>
    <row r="26" spans="11:16" x14ac:dyDescent="0.3">
      <c r="K26" t="e">
        <v>#N/A</v>
      </c>
      <c r="L26" t="str">
        <v/>
      </c>
      <c r="M26" t="str">
        <v/>
      </c>
      <c r="N26" t="e">
        <v>#N/A</v>
      </c>
      <c r="O26" t="e">
        <v>#N/A</v>
      </c>
      <c r="P26" t="str">
        <v>DISTRIBUCION PRINCIPAL</v>
      </c>
    </row>
    <row r="27" spans="11:16" x14ac:dyDescent="0.3">
      <c r="K27" t="e">
        <v>#N/A</v>
      </c>
      <c r="L27" t="str">
        <v/>
      </c>
      <c r="M27" t="str">
        <v/>
      </c>
      <c r="N27" t="e">
        <v>#N/A</v>
      </c>
      <c r="O27" t="e">
        <v>#N/A</v>
      </c>
      <c r="P27" t="str">
        <v>DISTRIBUCION PRINCIPAL</v>
      </c>
    </row>
    <row r="28" spans="11:16" x14ac:dyDescent="0.3">
      <c r="K28" t="e">
        <v>#N/A</v>
      </c>
      <c r="L28" t="str">
        <v/>
      </c>
      <c r="M28" t="str">
        <v/>
      </c>
      <c r="N28" t="e">
        <v>#N/A</v>
      </c>
      <c r="O28" t="e">
        <v>#N/A</v>
      </c>
      <c r="P28" t="str">
        <v>DISTRIBUCION PRINCIPAL</v>
      </c>
    </row>
    <row r="29" spans="11:16" x14ac:dyDescent="0.3">
      <c r="K29" t="e">
        <v>#N/A</v>
      </c>
      <c r="L29" t="str">
        <v/>
      </c>
      <c r="M29" t="str">
        <v/>
      </c>
      <c r="N29" t="e">
        <v>#N/A</v>
      </c>
      <c r="O29" t="e">
        <v>#N/A</v>
      </c>
      <c r="P29" t="str">
        <v>DISTRIBUCION PRINCIPAL</v>
      </c>
    </row>
    <row r="30" spans="11:16" x14ac:dyDescent="0.3">
      <c r="K30" t="e">
        <v>#N/A</v>
      </c>
      <c r="L30" t="str">
        <v/>
      </c>
      <c r="M30" t="str">
        <v/>
      </c>
      <c r="N30" t="e">
        <v>#N/A</v>
      </c>
      <c r="O30" t="e">
        <v>#N/A</v>
      </c>
      <c r="P30" t="str">
        <v>DISTRIBUCION PRINCIPAL</v>
      </c>
    </row>
    <row r="31" spans="11:16" x14ac:dyDescent="0.3">
      <c r="K31" t="e">
        <v>#N/A</v>
      </c>
      <c r="L31" t="str">
        <v/>
      </c>
      <c r="M31" t="str">
        <v/>
      </c>
      <c r="N31" t="e">
        <v>#N/A</v>
      </c>
      <c r="O31" t="e">
        <v>#N/A</v>
      </c>
      <c r="P31" t="str">
        <v>DISTRIBUCION PRINCIPAL</v>
      </c>
    </row>
    <row r="32" spans="11:16" x14ac:dyDescent="0.3">
      <c r="K32" t="e">
        <v>#N/A</v>
      </c>
      <c r="L32" t="str">
        <v/>
      </c>
      <c r="M32" t="str">
        <v/>
      </c>
      <c r="N32" t="e">
        <v>#N/A</v>
      </c>
      <c r="O32" t="e">
        <v>#N/A</v>
      </c>
      <c r="P32" t="str">
        <v>DISTRIBUCION PRINCIPAL</v>
      </c>
    </row>
    <row r="33" spans="11:16" x14ac:dyDescent="0.3">
      <c r="K33" t="e">
        <v>#N/A</v>
      </c>
      <c r="L33" t="str">
        <v/>
      </c>
      <c r="M33" t="str">
        <v/>
      </c>
      <c r="N33" t="e">
        <v>#N/A</v>
      </c>
      <c r="O33" t="e">
        <v>#N/A</v>
      </c>
      <c r="P33" t="str">
        <v>DISTRIBUCION PRINCIPAL</v>
      </c>
    </row>
    <row r="34" spans="11:16" x14ac:dyDescent="0.3">
      <c r="K34" t="e">
        <v>#N/A</v>
      </c>
      <c r="L34" t="str">
        <v/>
      </c>
      <c r="M34" t="str">
        <v/>
      </c>
      <c r="N34" t="e">
        <v>#N/A</v>
      </c>
      <c r="O34" t="e">
        <v>#N/A</v>
      </c>
      <c r="P34" t="str">
        <v>DISTRIBUCION PRINCIPAL</v>
      </c>
    </row>
    <row r="35" spans="11:16" x14ac:dyDescent="0.3">
      <c r="K35" t="e">
        <v>#N/A</v>
      </c>
      <c r="L35" t="str">
        <v/>
      </c>
      <c r="M35" t="str">
        <v/>
      </c>
      <c r="N35" t="e">
        <v>#N/A</v>
      </c>
      <c r="O35" t="e">
        <v>#N/A</v>
      </c>
      <c r="P35" t="str">
        <v>DISTRIBUCION PRINCIPAL</v>
      </c>
    </row>
    <row r="36" spans="11:16" x14ac:dyDescent="0.3">
      <c r="K36" t="e">
        <v>#N/A</v>
      </c>
      <c r="L36" t="str">
        <v/>
      </c>
      <c r="M36" t="str">
        <v/>
      </c>
      <c r="N36" t="e">
        <v>#N/A</v>
      </c>
      <c r="O36" t="e">
        <v>#N/A</v>
      </c>
      <c r="P36" t="str">
        <v>DISTRIBUCION PRINCIPAL</v>
      </c>
    </row>
    <row r="37" spans="11:16" x14ac:dyDescent="0.3">
      <c r="K37" t="e">
        <v>#N/A</v>
      </c>
      <c r="L37" t="str">
        <v/>
      </c>
      <c r="M37" t="str">
        <v/>
      </c>
      <c r="N37" t="e">
        <v>#N/A</v>
      </c>
      <c r="O37" t="e">
        <v>#N/A</v>
      </c>
      <c r="P37" t="str">
        <v>DISTRIBUCION PRINCIPAL</v>
      </c>
    </row>
    <row r="38" spans="11:16" x14ac:dyDescent="0.3">
      <c r="K38" t="e">
        <v>#N/A</v>
      </c>
      <c r="L38" t="str">
        <v/>
      </c>
      <c r="M38" t="str">
        <v/>
      </c>
      <c r="N38" t="e">
        <v>#N/A</v>
      </c>
      <c r="O38" t="e">
        <v>#N/A</v>
      </c>
      <c r="P38" t="str">
        <v>DISTRIBUCION PRINCIPAL</v>
      </c>
    </row>
    <row r="39" spans="11:16" x14ac:dyDescent="0.3">
      <c r="K39" t="e">
        <v>#N/A</v>
      </c>
      <c r="L39" t="str">
        <v/>
      </c>
      <c r="M39" t="str">
        <v/>
      </c>
      <c r="N39" t="e">
        <v>#N/A</v>
      </c>
      <c r="O39" t="e">
        <v>#N/A</v>
      </c>
      <c r="P39" t="str">
        <v>DISTRIBUCION PRINCIPAL</v>
      </c>
    </row>
    <row r="40" spans="11:16" x14ac:dyDescent="0.3">
      <c r="K40" t="e">
        <v>#N/A</v>
      </c>
      <c r="L40" t="str">
        <v/>
      </c>
      <c r="M40" t="str">
        <v/>
      </c>
      <c r="N40" t="e">
        <v>#N/A</v>
      </c>
      <c r="O40" t="e">
        <v>#N/A</v>
      </c>
      <c r="P40" t="str">
        <v>DISTRIBUCION PRINCIPAL</v>
      </c>
    </row>
    <row r="41" spans="11:16" x14ac:dyDescent="0.3">
      <c r="K41" t="e">
        <v>#N/A</v>
      </c>
      <c r="L41" t="str">
        <v/>
      </c>
      <c r="M41" t="str">
        <v/>
      </c>
      <c r="N41" t="e">
        <v>#N/A</v>
      </c>
      <c r="O41" t="e">
        <v>#N/A</v>
      </c>
      <c r="P41" t="str">
        <v>DISTRIBUCION PRINCIPAL</v>
      </c>
    </row>
    <row r="42" spans="11:16" x14ac:dyDescent="0.3">
      <c r="K42" t="e">
        <v>#N/A</v>
      </c>
      <c r="L42" t="str">
        <v/>
      </c>
      <c r="M42" t="str">
        <v/>
      </c>
      <c r="N42" t="e">
        <v>#N/A</v>
      </c>
      <c r="O42" t="e">
        <v>#N/A</v>
      </c>
      <c r="P42" t="str">
        <v>DISTRIBUCION PRINCIPAL</v>
      </c>
    </row>
    <row r="43" spans="11:16" x14ac:dyDescent="0.3">
      <c r="K43" t="e">
        <v>#N/A</v>
      </c>
      <c r="L43" t="str">
        <v/>
      </c>
      <c r="M43" t="str">
        <v/>
      </c>
      <c r="N43" t="e">
        <v>#N/A</v>
      </c>
      <c r="O43" t="e">
        <v>#N/A</v>
      </c>
      <c r="P43" t="str">
        <v>DISTRIBUCION PRINCIPAL</v>
      </c>
    </row>
    <row r="44" spans="11:16" x14ac:dyDescent="0.3">
      <c r="K44" t="e">
        <v>#N/A</v>
      </c>
      <c r="L44" t="str">
        <v/>
      </c>
      <c r="M44" t="str">
        <v/>
      </c>
      <c r="N44" t="e">
        <v>#N/A</v>
      </c>
      <c r="O44" t="e">
        <v>#N/A</v>
      </c>
      <c r="P44" t="str">
        <v>DISTRIBUCION PRINCIPAL</v>
      </c>
    </row>
    <row r="45" spans="11:16" x14ac:dyDescent="0.3">
      <c r="K45" t="e">
        <v>#N/A</v>
      </c>
      <c r="L45" t="str">
        <v/>
      </c>
      <c r="M45" t="str">
        <v/>
      </c>
      <c r="N45" t="e">
        <v>#N/A</v>
      </c>
      <c r="O45" t="e">
        <v>#N/A</v>
      </c>
      <c r="P45" t="str">
        <v>DISTRIBUCION PRINCIPAL</v>
      </c>
    </row>
    <row r="46" spans="11:16" x14ac:dyDescent="0.3">
      <c r="K46" t="e">
        <v>#N/A</v>
      </c>
      <c r="L46" t="str">
        <v/>
      </c>
      <c r="M46" t="str">
        <v/>
      </c>
      <c r="N46" t="e">
        <v>#N/A</v>
      </c>
      <c r="O46" t="e">
        <v>#N/A</v>
      </c>
      <c r="P46" t="str">
        <v>DISTRIBUCION PRINCIPAL</v>
      </c>
    </row>
    <row r="47" spans="11:16" x14ac:dyDescent="0.3">
      <c r="K47" t="e">
        <v>#N/A</v>
      </c>
      <c r="L47" t="str">
        <v/>
      </c>
      <c r="M47" t="str">
        <v/>
      </c>
      <c r="N47" t="e">
        <v>#N/A</v>
      </c>
      <c r="O47" t="e">
        <v>#N/A</v>
      </c>
      <c r="P47" t="str">
        <v>DISTRIBUCION PRINCIPAL</v>
      </c>
    </row>
    <row r="48" spans="11:16" x14ac:dyDescent="0.3">
      <c r="K48" t="e">
        <v>#N/A</v>
      </c>
      <c r="L48" t="str">
        <v/>
      </c>
      <c r="M48" t="str">
        <v/>
      </c>
      <c r="N48" t="e">
        <v>#N/A</v>
      </c>
      <c r="O48" t="e">
        <v>#N/A</v>
      </c>
      <c r="P48" t="str">
        <v>DISTRIBUCION PRINCIPAL</v>
      </c>
    </row>
    <row r="49" spans="11:16" x14ac:dyDescent="0.3">
      <c r="K49" t="e">
        <v>#N/A</v>
      </c>
      <c r="L49" t="str">
        <v/>
      </c>
      <c r="M49" t="str">
        <v/>
      </c>
      <c r="N49" t="e">
        <v>#N/A</v>
      </c>
      <c r="O49" t="e">
        <v>#N/A</v>
      </c>
      <c r="P49" t="str">
        <v>DISTRIBUCION PRINCIPAL</v>
      </c>
    </row>
    <row r="50" spans="11:16" x14ac:dyDescent="0.3">
      <c r="K50" t="e">
        <v>#N/A</v>
      </c>
      <c r="L50" t="str">
        <v/>
      </c>
      <c r="M50" t="str">
        <v/>
      </c>
      <c r="N50" t="e">
        <v>#N/A</v>
      </c>
      <c r="O50" t="e">
        <v>#N/A</v>
      </c>
      <c r="P50" t="str">
        <v>DISTRIBUCION PRINCIPAL</v>
      </c>
    </row>
    <row r="51" spans="11:16" x14ac:dyDescent="0.3">
      <c r="K51" t="e">
        <v>#N/A</v>
      </c>
      <c r="L51" t="str">
        <v/>
      </c>
      <c r="M51" t="str">
        <v/>
      </c>
      <c r="N51" t="e">
        <v>#N/A</v>
      </c>
      <c r="O51" t="e">
        <v>#N/A</v>
      </c>
      <c r="P51" t="str">
        <v>DISTRIBUCION PRINCIPAL</v>
      </c>
    </row>
    <row r="52" spans="11:16" x14ac:dyDescent="0.3">
      <c r="K52" t="e">
        <v>#N/A</v>
      </c>
      <c r="L52" t="str">
        <v/>
      </c>
      <c r="M52" t="str">
        <v/>
      </c>
      <c r="N52" t="e">
        <v>#N/A</v>
      </c>
      <c r="O52" t="e">
        <v>#N/A</v>
      </c>
      <c r="P52" t="str">
        <v>DISTRIBUCION PRINCIPAL</v>
      </c>
    </row>
    <row r="53" spans="11:16" x14ac:dyDescent="0.3">
      <c r="K53" t="e">
        <v>#N/A</v>
      </c>
      <c r="L53" t="str">
        <v/>
      </c>
      <c r="M53" t="str">
        <v/>
      </c>
      <c r="N53" t="e">
        <v>#N/A</v>
      </c>
      <c r="O53" t="e">
        <v>#N/A</v>
      </c>
      <c r="P53" t="str">
        <v>DISTRIBUCION PRINCIPAL</v>
      </c>
    </row>
    <row r="54" spans="11:16" x14ac:dyDescent="0.3">
      <c r="K54" t="e">
        <v>#N/A</v>
      </c>
      <c r="L54" t="str">
        <v/>
      </c>
      <c r="M54" t="str">
        <v/>
      </c>
      <c r="N54" t="e">
        <v>#N/A</v>
      </c>
      <c r="O54" t="e">
        <v>#N/A</v>
      </c>
      <c r="P54" t="str">
        <v>DISTRIBUCION PRINCIPAL</v>
      </c>
    </row>
    <row r="55" spans="11:16" x14ac:dyDescent="0.3">
      <c r="K55" t="e">
        <v>#N/A</v>
      </c>
      <c r="L55" t="str">
        <v/>
      </c>
      <c r="M55" t="str">
        <v/>
      </c>
      <c r="N55" t="e">
        <v>#N/A</v>
      </c>
      <c r="O55" t="e">
        <v>#N/A</v>
      </c>
      <c r="P55" t="str">
        <v>DISTRIBUCION PRINCIPAL</v>
      </c>
    </row>
    <row r="56" spans="11:16" x14ac:dyDescent="0.3">
      <c r="K56" t="e">
        <v>#N/A</v>
      </c>
      <c r="L56" t="str">
        <v/>
      </c>
      <c r="M56" t="str">
        <v/>
      </c>
      <c r="N56" t="e">
        <v>#N/A</v>
      </c>
      <c r="O56" t="e">
        <v>#N/A</v>
      </c>
      <c r="P56" t="str">
        <v>DISTRIBUCION PRINCIPAL</v>
      </c>
    </row>
    <row r="57" spans="11:16" x14ac:dyDescent="0.3">
      <c r="K57" t="e">
        <v>#N/A</v>
      </c>
      <c r="L57" t="str">
        <v/>
      </c>
      <c r="M57" t="str">
        <v/>
      </c>
      <c r="N57" t="e">
        <v>#N/A</v>
      </c>
      <c r="O57" t="e">
        <v>#N/A</v>
      </c>
      <c r="P57" t="str">
        <v>DISTRIBUCION PRINCIPAL</v>
      </c>
    </row>
    <row r="58" spans="11:16" x14ac:dyDescent="0.3">
      <c r="K58" t="e">
        <v>#N/A</v>
      </c>
      <c r="L58" t="str">
        <v/>
      </c>
      <c r="M58" t="str">
        <v/>
      </c>
      <c r="N58" t="e">
        <v>#N/A</v>
      </c>
      <c r="O58" t="e">
        <v>#N/A</v>
      </c>
      <c r="P58" t="str">
        <v>DISTRIBUCION PRINCIPAL</v>
      </c>
    </row>
    <row r="59" spans="11:16" x14ac:dyDescent="0.3">
      <c r="K59" t="e">
        <v>#N/A</v>
      </c>
      <c r="L59" t="str">
        <v/>
      </c>
      <c r="M59" t="str">
        <v/>
      </c>
      <c r="N59" t="e">
        <v>#N/A</v>
      </c>
      <c r="O59" t="e">
        <v>#N/A</v>
      </c>
      <c r="P59" t="str">
        <v>DISTRIBUCION PRINCIPAL</v>
      </c>
    </row>
    <row r="60" spans="11:16" x14ac:dyDescent="0.3">
      <c r="K60" t="e">
        <v>#N/A</v>
      </c>
      <c r="L60" t="str">
        <v/>
      </c>
      <c r="M60" t="str">
        <v/>
      </c>
      <c r="N60" t="e">
        <v>#N/A</v>
      </c>
      <c r="O60" t="e">
        <v>#N/A</v>
      </c>
      <c r="P60" t="str">
        <v>DISTRIBUCION PRINCIPAL</v>
      </c>
    </row>
    <row r="61" spans="11:16" x14ac:dyDescent="0.3">
      <c r="K61" t="e">
        <v>#N/A</v>
      </c>
      <c r="L61" t="str">
        <v/>
      </c>
      <c r="M61" t="str">
        <v/>
      </c>
      <c r="N61" t="e">
        <v>#N/A</v>
      </c>
      <c r="O61" t="e">
        <v>#N/A</v>
      </c>
      <c r="P61" t="str">
        <v>DISTRIBUCION PRINCIPAL</v>
      </c>
    </row>
    <row r="62" spans="11:16" x14ac:dyDescent="0.3">
      <c r="K62" t="e">
        <v>#N/A</v>
      </c>
      <c r="L62" t="str">
        <v/>
      </c>
      <c r="M62" t="str">
        <v/>
      </c>
      <c r="N62" t="e">
        <v>#N/A</v>
      </c>
      <c r="O62" t="e">
        <v>#N/A</v>
      </c>
      <c r="P62" t="str">
        <v>DISTRIBUCION PRINCIPAL</v>
      </c>
    </row>
    <row r="63" spans="11:16" x14ac:dyDescent="0.3">
      <c r="K63" t="e">
        <v>#N/A</v>
      </c>
      <c r="L63" t="str">
        <v/>
      </c>
      <c r="M63" t="str">
        <v/>
      </c>
      <c r="N63" t="e">
        <v>#N/A</v>
      </c>
      <c r="O63" t="e">
        <v>#N/A</v>
      </c>
      <c r="P63" t="str">
        <v>DISTRIBUCION PRINCIPAL</v>
      </c>
    </row>
    <row r="64" spans="11:16" x14ac:dyDescent="0.3">
      <c r="K64" t="e">
        <v>#N/A</v>
      </c>
      <c r="L64" t="str">
        <v/>
      </c>
      <c r="M64" t="str">
        <v/>
      </c>
      <c r="N64" t="e">
        <v>#N/A</v>
      </c>
      <c r="O64" t="e">
        <v>#N/A</v>
      </c>
      <c r="P64" t="str">
        <v>DISTRIBUCION PRINCIPAL</v>
      </c>
    </row>
    <row r="65" spans="11:16" x14ac:dyDescent="0.3">
      <c r="K65" t="e">
        <v>#N/A</v>
      </c>
      <c r="L65" t="str">
        <v/>
      </c>
      <c r="M65" t="str">
        <v/>
      </c>
      <c r="N65" t="e">
        <v>#N/A</v>
      </c>
      <c r="O65" t="e">
        <v>#N/A</v>
      </c>
      <c r="P65" t="str">
        <v>DISTRIBUCION PRINCIPAL</v>
      </c>
    </row>
    <row r="66" spans="11:16" x14ac:dyDescent="0.3">
      <c r="K66" t="e">
        <v>#N/A</v>
      </c>
      <c r="L66" t="str">
        <v/>
      </c>
      <c r="M66" t="str">
        <v/>
      </c>
      <c r="N66" t="e">
        <v>#N/A</v>
      </c>
      <c r="O66" t="e">
        <v>#N/A</v>
      </c>
      <c r="P66" t="str">
        <v>DISTRIBUCION PRINCIPAL</v>
      </c>
    </row>
    <row r="67" spans="11:16" x14ac:dyDescent="0.3">
      <c r="K67" t="e">
        <v>#N/A</v>
      </c>
      <c r="L67" t="str">
        <v/>
      </c>
      <c r="M67" t="str">
        <v/>
      </c>
      <c r="N67" t="e">
        <v>#N/A</v>
      </c>
      <c r="O67" t="e">
        <v>#N/A</v>
      </c>
      <c r="P67" t="str">
        <v>DISTRIBUCION PRINCIPAL</v>
      </c>
    </row>
    <row r="68" spans="11:16" x14ac:dyDescent="0.3">
      <c r="K68" t="e">
        <v>#N/A</v>
      </c>
      <c r="L68" t="str">
        <v/>
      </c>
      <c r="M68" t="str">
        <v/>
      </c>
      <c r="N68" t="e">
        <v>#N/A</v>
      </c>
      <c r="O68" t="e">
        <v>#N/A</v>
      </c>
      <c r="P68" t="str">
        <v>DISTRIBUCION PRINCIPAL</v>
      </c>
    </row>
    <row r="69" spans="11:16" x14ac:dyDescent="0.3">
      <c r="K69" t="e">
        <v>#N/A</v>
      </c>
      <c r="L69" t="str">
        <v/>
      </c>
      <c r="M69" t="str">
        <v/>
      </c>
      <c r="N69" t="e">
        <v>#N/A</v>
      </c>
      <c r="O69" t="e">
        <v>#N/A</v>
      </c>
      <c r="P69" t="str">
        <v>DISTRIBUCION PRINCIPAL</v>
      </c>
    </row>
    <row r="70" spans="11:16" x14ac:dyDescent="0.3">
      <c r="K70" t="e">
        <v>#N/A</v>
      </c>
      <c r="L70" t="str">
        <v/>
      </c>
      <c r="M70" t="str">
        <v/>
      </c>
      <c r="N70" t="e">
        <v>#N/A</v>
      </c>
      <c r="O70" t="e">
        <v>#N/A</v>
      </c>
      <c r="P70" t="str">
        <v>DISTRIBUCION PRINCIPAL</v>
      </c>
    </row>
    <row r="71" spans="11:16" x14ac:dyDescent="0.3">
      <c r="K71" t="e">
        <v>#N/A</v>
      </c>
      <c r="L71" t="str">
        <v/>
      </c>
      <c r="M71" t="str">
        <v/>
      </c>
      <c r="N71" t="e">
        <v>#N/A</v>
      </c>
      <c r="O71" t="e">
        <v>#N/A</v>
      </c>
      <c r="P71" t="str">
        <v>DISTRIBUCION PRINCIPAL</v>
      </c>
    </row>
    <row r="72" spans="11:16" x14ac:dyDescent="0.3">
      <c r="K72" t="e">
        <v>#N/A</v>
      </c>
      <c r="L72" t="str">
        <v/>
      </c>
      <c r="M72" t="str">
        <v/>
      </c>
      <c r="N72" t="e">
        <v>#N/A</v>
      </c>
      <c r="O72" t="e">
        <v>#N/A</v>
      </c>
      <c r="P72" t="str">
        <v>DISTRIBUCION PRINCIPAL</v>
      </c>
    </row>
    <row r="73" spans="11:16" x14ac:dyDescent="0.3">
      <c r="K73" t="e">
        <v>#N/A</v>
      </c>
      <c r="L73" t="str">
        <v/>
      </c>
      <c r="M73" t="str">
        <v/>
      </c>
      <c r="N73" t="e">
        <v>#N/A</v>
      </c>
      <c r="O73" t="e">
        <v>#N/A</v>
      </c>
      <c r="P73" t="str">
        <v>DISTRIBUCION PRINCIPAL</v>
      </c>
    </row>
    <row r="74" spans="11:16" x14ac:dyDescent="0.3">
      <c r="K74" t="e">
        <v>#N/A</v>
      </c>
      <c r="L74" t="str">
        <v/>
      </c>
      <c r="M74" t="str">
        <v/>
      </c>
      <c r="N74" t="e">
        <v>#N/A</v>
      </c>
      <c r="O74" t="e">
        <v>#N/A</v>
      </c>
      <c r="P74" t="str">
        <v>DISTRIBUCION PRINCIPAL</v>
      </c>
    </row>
    <row r="75" spans="11:16" x14ac:dyDescent="0.3">
      <c r="K75" t="e">
        <v>#N/A</v>
      </c>
      <c r="L75" t="str">
        <v/>
      </c>
      <c r="M75" t="str">
        <v/>
      </c>
      <c r="N75" t="e">
        <v>#N/A</v>
      </c>
      <c r="O75" t="e">
        <v>#N/A</v>
      </c>
      <c r="P75" t="str">
        <v>DISTRIBUCION PRINCIPAL</v>
      </c>
    </row>
    <row r="76" spans="11:16" x14ac:dyDescent="0.3">
      <c r="K76" t="e">
        <v>#N/A</v>
      </c>
      <c r="L76" t="str">
        <v/>
      </c>
      <c r="M76" t="str">
        <v/>
      </c>
      <c r="N76" t="e">
        <v>#N/A</v>
      </c>
      <c r="O76" t="e">
        <v>#N/A</v>
      </c>
      <c r="P76" t="str">
        <v>DISTRIBUCION PRINCIPAL</v>
      </c>
    </row>
    <row r="77" spans="11:16" x14ac:dyDescent="0.3">
      <c r="K77" t="e">
        <v>#N/A</v>
      </c>
      <c r="L77" t="str">
        <v/>
      </c>
      <c r="M77" t="str">
        <v/>
      </c>
      <c r="N77" t="e">
        <v>#N/A</v>
      </c>
      <c r="O77" t="e">
        <v>#N/A</v>
      </c>
      <c r="P77" t="str">
        <v>DISTRIBUCION PRINCIPAL</v>
      </c>
    </row>
    <row r="78" spans="11:16" x14ac:dyDescent="0.3">
      <c r="K78" t="e">
        <v>#N/A</v>
      </c>
      <c r="L78" t="str">
        <v/>
      </c>
      <c r="M78" t="str">
        <v/>
      </c>
      <c r="N78" t="e">
        <v>#N/A</v>
      </c>
      <c r="O78" t="e">
        <v>#N/A</v>
      </c>
      <c r="P78" t="str">
        <v>DISTRIBUCION PRINCIPAL</v>
      </c>
    </row>
    <row r="79" spans="11:16" x14ac:dyDescent="0.3">
      <c r="K79" t="e">
        <v>#N/A</v>
      </c>
      <c r="L79" t="str">
        <v/>
      </c>
      <c r="M79" t="str">
        <v/>
      </c>
      <c r="N79" t="e">
        <v>#N/A</v>
      </c>
      <c r="O79" t="e">
        <v>#N/A</v>
      </c>
      <c r="P79" t="str">
        <v>DISTRIBUCION PRINCIPAL</v>
      </c>
    </row>
    <row r="80" spans="11:16" x14ac:dyDescent="0.3">
      <c r="K80" t="e">
        <v>#N/A</v>
      </c>
      <c r="L80" t="str">
        <v/>
      </c>
      <c r="M80" t="str">
        <v/>
      </c>
      <c r="N80" t="e">
        <v>#N/A</v>
      </c>
      <c r="O80" t="e">
        <v>#N/A</v>
      </c>
      <c r="P80" t="str">
        <v>DISTRIBUCION PRINCIPAL</v>
      </c>
    </row>
    <row r="81" spans="11:16" x14ac:dyDescent="0.3">
      <c r="K81" t="e">
        <v>#N/A</v>
      </c>
      <c r="L81" t="str">
        <v/>
      </c>
      <c r="M81" t="str">
        <v/>
      </c>
      <c r="N81" t="e">
        <v>#N/A</v>
      </c>
      <c r="O81" t="e">
        <v>#N/A</v>
      </c>
      <c r="P81" t="str">
        <v>DISTRIBUCION PRINCIPAL</v>
      </c>
    </row>
    <row r="82" spans="11:16" x14ac:dyDescent="0.3">
      <c r="K82" t="e">
        <v>#N/A</v>
      </c>
      <c r="L82" t="str">
        <v/>
      </c>
      <c r="M82" t="str">
        <v/>
      </c>
      <c r="N82" t="e">
        <v>#N/A</v>
      </c>
      <c r="O82" t="e">
        <v>#N/A</v>
      </c>
      <c r="P82" t="str">
        <v>DISTRIBUCION PRINCIPAL</v>
      </c>
    </row>
    <row r="83" spans="11:16" x14ac:dyDescent="0.3">
      <c r="K83" t="e">
        <v>#N/A</v>
      </c>
      <c r="L83" t="str">
        <v/>
      </c>
      <c r="M83" t="str">
        <v/>
      </c>
      <c r="N83" t="e">
        <v>#N/A</v>
      </c>
      <c r="O83" t="e">
        <v>#N/A</v>
      </c>
      <c r="P83" t="str">
        <v>DISTRIBUCION PRINCIPAL</v>
      </c>
    </row>
    <row r="84" spans="11:16" x14ac:dyDescent="0.3">
      <c r="K84" t="e">
        <v>#N/A</v>
      </c>
      <c r="L84" t="str">
        <v/>
      </c>
      <c r="M84" t="str">
        <v/>
      </c>
      <c r="N84" t="e">
        <v>#N/A</v>
      </c>
      <c r="O84" t="e">
        <v>#N/A</v>
      </c>
      <c r="P84" t="str">
        <v>DISTRIBUCION PRINCIPAL</v>
      </c>
    </row>
    <row r="85" spans="11:16" x14ac:dyDescent="0.3">
      <c r="K85" t="e">
        <v>#N/A</v>
      </c>
      <c r="L85" t="str">
        <v/>
      </c>
      <c r="M85" t="str">
        <v/>
      </c>
      <c r="N85" t="e">
        <v>#N/A</v>
      </c>
      <c r="O85" t="e">
        <v>#N/A</v>
      </c>
      <c r="P85" t="str">
        <v>DISTRIBUCION PRINCIPAL</v>
      </c>
    </row>
    <row r="86" spans="11:16" x14ac:dyDescent="0.3">
      <c r="K86" t="e">
        <v>#N/A</v>
      </c>
      <c r="L86" t="str">
        <v/>
      </c>
      <c r="M86" t="str">
        <v/>
      </c>
      <c r="N86" t="e">
        <v>#N/A</v>
      </c>
      <c r="O86" t="e">
        <v>#N/A</v>
      </c>
      <c r="P86" t="str">
        <v>DISTRIBUCION PRINCIPAL</v>
      </c>
    </row>
    <row r="87" spans="11:16" x14ac:dyDescent="0.3">
      <c r="K87" t="e">
        <v>#N/A</v>
      </c>
      <c r="L87" t="str">
        <v/>
      </c>
      <c r="M87" t="str">
        <v/>
      </c>
      <c r="N87" t="e">
        <v>#N/A</v>
      </c>
      <c r="O87" t="e">
        <v>#N/A</v>
      </c>
      <c r="P87" t="str">
        <v>DISTRIBUCION PRINCIPAL</v>
      </c>
    </row>
    <row r="88" spans="11:16" x14ac:dyDescent="0.3">
      <c r="K88" t="e">
        <v>#N/A</v>
      </c>
      <c r="L88" t="str">
        <v/>
      </c>
      <c r="M88" t="str">
        <v/>
      </c>
      <c r="N88" t="e">
        <v>#N/A</v>
      </c>
      <c r="O88" t="e">
        <v>#N/A</v>
      </c>
      <c r="P88" t="str">
        <v>DISTRIBUCION PRINCIPAL</v>
      </c>
    </row>
    <row r="89" spans="11:16" x14ac:dyDescent="0.3">
      <c r="K89" t="e">
        <v>#N/A</v>
      </c>
      <c r="L89" t="str">
        <v/>
      </c>
      <c r="M89" t="str">
        <v/>
      </c>
      <c r="N89" t="e">
        <v>#N/A</v>
      </c>
      <c r="O89" t="e">
        <v>#N/A</v>
      </c>
      <c r="P89" t="str">
        <v>DISTRIBUCION PRINCIPAL</v>
      </c>
    </row>
    <row r="90" spans="11:16" x14ac:dyDescent="0.3">
      <c r="K90" t="e">
        <v>#N/A</v>
      </c>
      <c r="L90" t="str">
        <v/>
      </c>
      <c r="M90" t="str">
        <v/>
      </c>
      <c r="N90" t="e">
        <v>#N/A</v>
      </c>
      <c r="O90" t="e">
        <v>#N/A</v>
      </c>
      <c r="P90" t="str">
        <v>DISTRIBUCION PRINCIPAL</v>
      </c>
    </row>
    <row r="91" spans="11:16" x14ac:dyDescent="0.3">
      <c r="K91" t="e">
        <v>#N/A</v>
      </c>
      <c r="L91" t="str">
        <v/>
      </c>
      <c r="M91" t="str">
        <v/>
      </c>
      <c r="N91" t="e">
        <v>#N/A</v>
      </c>
      <c r="O91" t="e">
        <v>#N/A</v>
      </c>
      <c r="P91" t="str">
        <v>DISTRIBUCION PRINCIPAL</v>
      </c>
    </row>
    <row r="92" spans="11:16" x14ac:dyDescent="0.3">
      <c r="K92" t="e">
        <v>#N/A</v>
      </c>
      <c r="L92" t="str">
        <v/>
      </c>
      <c r="M92" t="str">
        <v/>
      </c>
      <c r="N92" t="e">
        <v>#N/A</v>
      </c>
      <c r="O92" t="e">
        <v>#N/A</v>
      </c>
      <c r="P92" t="str">
        <v>DISTRIBUCION PRINCIPAL</v>
      </c>
    </row>
    <row r="93" spans="11:16" x14ac:dyDescent="0.3">
      <c r="K93" t="e">
        <v>#N/A</v>
      </c>
      <c r="L93" t="str">
        <v/>
      </c>
      <c r="M93" t="str">
        <v/>
      </c>
      <c r="N93" t="e">
        <v>#N/A</v>
      </c>
      <c r="O93" t="e">
        <v>#N/A</v>
      </c>
      <c r="P93" t="str">
        <v>DISTRIBUCION PRINCIPAL</v>
      </c>
    </row>
    <row r="94" spans="11:16" x14ac:dyDescent="0.3">
      <c r="K94" t="e">
        <v>#N/A</v>
      </c>
      <c r="L94" t="str">
        <v/>
      </c>
      <c r="M94" t="str">
        <v/>
      </c>
      <c r="N94" t="e">
        <v>#N/A</v>
      </c>
      <c r="O94" t="e">
        <v>#N/A</v>
      </c>
      <c r="P94" t="str">
        <v>DISTRIBUCION PRINCIPAL</v>
      </c>
    </row>
    <row r="95" spans="11:16" x14ac:dyDescent="0.3">
      <c r="K95" t="e">
        <v>#N/A</v>
      </c>
      <c r="L95" t="str">
        <v/>
      </c>
      <c r="M95" t="str">
        <v/>
      </c>
      <c r="N95" t="e">
        <v>#N/A</v>
      </c>
      <c r="O95" t="e">
        <v>#N/A</v>
      </c>
      <c r="P95" t="str">
        <v>DISTRIBUCION PRINCIPAL</v>
      </c>
    </row>
    <row r="96" spans="11:16" x14ac:dyDescent="0.3">
      <c r="K96" t="e">
        <v>#N/A</v>
      </c>
      <c r="L96" t="str">
        <v/>
      </c>
      <c r="M96" t="str">
        <v/>
      </c>
      <c r="N96" t="e">
        <v>#N/A</v>
      </c>
      <c r="O96" t="e">
        <v>#N/A</v>
      </c>
      <c r="P96" t="str">
        <v>DISTRIBUCION PRINCIPAL</v>
      </c>
    </row>
    <row r="97" spans="11:16" x14ac:dyDescent="0.3">
      <c r="K97" t="e">
        <v>#N/A</v>
      </c>
      <c r="L97" t="str">
        <v/>
      </c>
      <c r="M97" t="str">
        <v/>
      </c>
      <c r="N97" t="e">
        <v>#N/A</v>
      </c>
      <c r="O97" t="e">
        <v>#N/A</v>
      </c>
      <c r="P97" t="str">
        <v>DISTRIBUCION PRINCIPAL</v>
      </c>
    </row>
    <row r="98" spans="11:16" x14ac:dyDescent="0.3">
      <c r="K98" t="e">
        <v>#N/A</v>
      </c>
      <c r="L98" t="str">
        <v/>
      </c>
      <c r="M98" t="str">
        <v/>
      </c>
      <c r="N98" t="e">
        <v>#N/A</v>
      </c>
      <c r="O98" t="e">
        <v>#N/A</v>
      </c>
      <c r="P98" t="str">
        <v>DISTRIBUCION PRINCIPAL</v>
      </c>
    </row>
    <row r="99" spans="11:16" x14ac:dyDescent="0.3">
      <c r="K99" t="e">
        <v>#N/A</v>
      </c>
      <c r="L99" t="str">
        <v/>
      </c>
      <c r="M99" t="str">
        <v/>
      </c>
      <c r="N99" t="e">
        <v>#N/A</v>
      </c>
      <c r="O99" t="e">
        <v>#N/A</v>
      </c>
      <c r="P99" t="str">
        <v>DISTRIBUCION PRINCIPAL</v>
      </c>
    </row>
    <row r="100" spans="11:16" x14ac:dyDescent="0.3">
      <c r="K100" t="e">
        <v>#N/A</v>
      </c>
      <c r="L100" t="str">
        <v/>
      </c>
      <c r="M100" t="str">
        <v/>
      </c>
      <c r="N100" t="e">
        <v>#N/A</v>
      </c>
      <c r="O100" t="e">
        <v>#N/A</v>
      </c>
      <c r="P100" t="str">
        <v>DISTRIBUCION PRINCIPAL</v>
      </c>
    </row>
    <row r="101" spans="11:16" x14ac:dyDescent="0.3">
      <c r="K101" t="e">
        <v>#N/A</v>
      </c>
      <c r="L101" t="str">
        <v/>
      </c>
      <c r="M101" t="str">
        <v/>
      </c>
      <c r="N101" t="e">
        <v>#N/A</v>
      </c>
      <c r="O101" t="e">
        <v>#N/A</v>
      </c>
      <c r="P101" t="str">
        <v>DISTRIBUCION PRINCIPAL</v>
      </c>
    </row>
    <row r="102" spans="11:16" x14ac:dyDescent="0.3">
      <c r="K102" t="e">
        <v>#N/A</v>
      </c>
      <c r="L102" t="str">
        <v/>
      </c>
      <c r="M102" t="str">
        <v/>
      </c>
      <c r="N102" t="e">
        <v>#N/A</v>
      </c>
      <c r="O102" t="e">
        <v>#N/A</v>
      </c>
      <c r="P102" t="str">
        <v>DISTRIBUCION PRINCIPAL</v>
      </c>
    </row>
    <row r="103" spans="11:16" x14ac:dyDescent="0.3">
      <c r="K103" t="e">
        <v>#N/A</v>
      </c>
      <c r="L103" t="str">
        <v/>
      </c>
      <c r="M103" t="str">
        <v/>
      </c>
      <c r="N103" t="e">
        <v>#N/A</v>
      </c>
      <c r="O103" t="e">
        <v>#N/A</v>
      </c>
      <c r="P103" t="str">
        <v>DISTRIBUCION PRINCIPAL</v>
      </c>
    </row>
    <row r="104" spans="11:16" x14ac:dyDescent="0.3">
      <c r="K104" t="e">
        <v>#N/A</v>
      </c>
      <c r="L104" t="str">
        <v/>
      </c>
      <c r="M104" t="str">
        <v/>
      </c>
      <c r="N104" t="e">
        <v>#N/A</v>
      </c>
      <c r="O104" t="e">
        <v>#N/A</v>
      </c>
      <c r="P104" t="str">
        <v>DISTRIBUCION PRINCIPAL</v>
      </c>
    </row>
    <row r="105" spans="11:16" x14ac:dyDescent="0.3">
      <c r="K105" t="e">
        <v>#N/A</v>
      </c>
      <c r="L105" t="str">
        <v/>
      </c>
      <c r="M105" t="str">
        <v/>
      </c>
      <c r="N105" t="e">
        <v>#N/A</v>
      </c>
      <c r="O105" t="e">
        <v>#N/A</v>
      </c>
      <c r="P105" t="str">
        <v>DISTRIBUCION PRINCIPAL</v>
      </c>
    </row>
    <row r="106" spans="11:16" x14ac:dyDescent="0.3">
      <c r="K106" t="e">
        <v>#N/A</v>
      </c>
      <c r="L106" t="str">
        <v/>
      </c>
      <c r="M106" t="str">
        <v/>
      </c>
      <c r="N106" t="e">
        <v>#N/A</v>
      </c>
      <c r="O106" t="e">
        <v>#N/A</v>
      </c>
      <c r="P106" t="str">
        <v>DISTRIBUCION PRINCIPAL</v>
      </c>
    </row>
    <row r="107" spans="11:16" x14ac:dyDescent="0.3">
      <c r="K107" t="e">
        <v>#N/A</v>
      </c>
      <c r="L107" t="str">
        <v/>
      </c>
      <c r="M107" t="str">
        <v/>
      </c>
      <c r="N107" t="e">
        <v>#N/A</v>
      </c>
      <c r="O107" t="e">
        <v>#N/A</v>
      </c>
      <c r="P107" t="str">
        <v>DISTRIBUCION PRINCIPAL</v>
      </c>
    </row>
    <row r="108" spans="11:16" x14ac:dyDescent="0.3">
      <c r="K108" t="e">
        <v>#N/A</v>
      </c>
      <c r="L108" t="str">
        <v/>
      </c>
      <c r="M108" t="str">
        <v/>
      </c>
      <c r="N108" t="e">
        <v>#N/A</v>
      </c>
      <c r="O108" t="e">
        <v>#N/A</v>
      </c>
      <c r="P108" t="str">
        <v>DISTRIBUCION PRINCIPAL</v>
      </c>
    </row>
    <row r="109" spans="11:16" x14ac:dyDescent="0.3">
      <c r="K109" t="e">
        <v>#N/A</v>
      </c>
      <c r="L109" t="str">
        <v/>
      </c>
      <c r="M109" t="str">
        <v/>
      </c>
      <c r="N109" t="e">
        <v>#N/A</v>
      </c>
      <c r="O109" t="e">
        <v>#N/A</v>
      </c>
      <c r="P109" t="str">
        <v>DISTRIBUCION PRINCIPAL</v>
      </c>
    </row>
    <row r="110" spans="11:16" x14ac:dyDescent="0.3">
      <c r="K110" t="e">
        <v>#N/A</v>
      </c>
      <c r="L110" t="str">
        <v/>
      </c>
      <c r="M110" t="str">
        <v/>
      </c>
      <c r="N110" t="e">
        <v>#N/A</v>
      </c>
      <c r="O110" t="e">
        <v>#N/A</v>
      </c>
      <c r="P110" t="str">
        <v>DISTRIBUCION PRINCIPAL</v>
      </c>
    </row>
    <row r="111" spans="11:16" x14ac:dyDescent="0.3">
      <c r="K111" t="e">
        <v>#N/A</v>
      </c>
      <c r="L111" t="str">
        <v/>
      </c>
      <c r="M111" t="str">
        <v/>
      </c>
      <c r="N111" t="e">
        <v>#N/A</v>
      </c>
      <c r="O111" t="e">
        <v>#N/A</v>
      </c>
      <c r="P111" t="str">
        <v>DISTRIBUCION PRINCIPAL</v>
      </c>
    </row>
    <row r="112" spans="11:16" x14ac:dyDescent="0.3">
      <c r="K112" t="e">
        <v>#N/A</v>
      </c>
      <c r="L112" t="str">
        <v/>
      </c>
      <c r="M112" t="str">
        <v/>
      </c>
      <c r="N112" t="e">
        <v>#N/A</v>
      </c>
      <c r="O112" t="e">
        <v>#N/A</v>
      </c>
      <c r="P112" t="str">
        <v>DISTRIBUCION PRINCIPAL</v>
      </c>
    </row>
    <row r="113" spans="11:16" x14ac:dyDescent="0.3">
      <c r="K113" t="e">
        <v>#N/A</v>
      </c>
      <c r="L113" t="str">
        <v/>
      </c>
      <c r="M113" t="str">
        <v/>
      </c>
      <c r="N113" t="e">
        <v>#N/A</v>
      </c>
      <c r="O113" t="e">
        <v>#N/A</v>
      </c>
      <c r="P113" t="str">
        <v>DISTRIBUCION PRINCIPAL</v>
      </c>
    </row>
    <row r="114" spans="11:16" x14ac:dyDescent="0.3">
      <c r="K114" t="e">
        <v>#N/A</v>
      </c>
      <c r="L114" t="str">
        <v/>
      </c>
      <c r="M114" t="str">
        <v/>
      </c>
      <c r="N114" t="e">
        <v>#N/A</v>
      </c>
      <c r="O114" t="e">
        <v>#N/A</v>
      </c>
      <c r="P114" t="str">
        <v>DISTRIBUCION PRINCIPAL</v>
      </c>
    </row>
    <row r="115" spans="11:16" x14ac:dyDescent="0.3">
      <c r="K115" t="e">
        <v>#N/A</v>
      </c>
      <c r="L115" t="str">
        <v/>
      </c>
      <c r="M115" t="str">
        <v/>
      </c>
      <c r="N115" t="e">
        <v>#N/A</v>
      </c>
      <c r="O115" t="e">
        <v>#N/A</v>
      </c>
      <c r="P115" t="str">
        <v>DISTRIBUCION PRINCIPAL</v>
      </c>
    </row>
    <row r="116" spans="11:16" x14ac:dyDescent="0.3">
      <c r="K116" t="e">
        <v>#N/A</v>
      </c>
      <c r="L116" t="str">
        <v/>
      </c>
      <c r="M116" t="str">
        <v/>
      </c>
      <c r="N116" t="e">
        <v>#N/A</v>
      </c>
      <c r="O116" t="e">
        <v>#N/A</v>
      </c>
      <c r="P116" t="str">
        <v>DISTRIBUCION PRINCIPAL</v>
      </c>
    </row>
    <row r="117" spans="11:16" x14ac:dyDescent="0.3">
      <c r="K117" t="e">
        <v>#N/A</v>
      </c>
      <c r="L117" t="str">
        <v/>
      </c>
      <c r="M117" t="str">
        <v/>
      </c>
      <c r="N117" t="e">
        <v>#N/A</v>
      </c>
      <c r="O117" t="e">
        <v>#N/A</v>
      </c>
      <c r="P117" t="str">
        <v>DISTRIBUCION PRINCIPAL</v>
      </c>
    </row>
    <row r="118" spans="11:16" x14ac:dyDescent="0.3">
      <c r="K118" t="e">
        <v>#N/A</v>
      </c>
      <c r="L118" t="str">
        <v/>
      </c>
      <c r="M118" t="str">
        <v/>
      </c>
      <c r="N118" t="e">
        <v>#N/A</v>
      </c>
      <c r="O118" t="e">
        <v>#N/A</v>
      </c>
      <c r="P118" t="str">
        <v>DISTRIBUCION PRINCIPAL</v>
      </c>
    </row>
    <row r="119" spans="11:16" x14ac:dyDescent="0.3">
      <c r="K119" t="e">
        <v>#N/A</v>
      </c>
      <c r="L119" t="str">
        <v/>
      </c>
      <c r="M119" t="str">
        <v/>
      </c>
      <c r="N119" t="e">
        <v>#N/A</v>
      </c>
      <c r="O119" t="e">
        <v>#N/A</v>
      </c>
      <c r="P119" t="str">
        <v>DISTRIBUCION PRINCIPAL</v>
      </c>
    </row>
    <row r="120" spans="11:16" x14ac:dyDescent="0.3">
      <c r="K120" t="e">
        <v>#N/A</v>
      </c>
      <c r="L120" t="str">
        <v/>
      </c>
      <c r="M120" t="str">
        <v/>
      </c>
      <c r="N120" t="e">
        <v>#N/A</v>
      </c>
      <c r="O120" t="e">
        <v>#N/A</v>
      </c>
      <c r="P120" t="str">
        <v>DISTRIBUCION PRINCIPAL</v>
      </c>
    </row>
    <row r="121" spans="11:16" x14ac:dyDescent="0.3">
      <c r="K121" t="e">
        <v>#N/A</v>
      </c>
      <c r="L121" t="str">
        <v/>
      </c>
      <c r="M121" t="str">
        <v/>
      </c>
      <c r="N121" t="e">
        <v>#N/A</v>
      </c>
      <c r="O121" t="e">
        <v>#N/A</v>
      </c>
      <c r="P121" t="str">
        <v>DISTRIBUCION PRINCIPAL</v>
      </c>
    </row>
    <row r="122" spans="11:16" x14ac:dyDescent="0.3">
      <c r="K122" t="e">
        <v>#N/A</v>
      </c>
      <c r="L122" t="str">
        <v/>
      </c>
      <c r="M122" t="str">
        <v/>
      </c>
      <c r="N122" t="e">
        <v>#N/A</v>
      </c>
      <c r="O122" t="e">
        <v>#N/A</v>
      </c>
      <c r="P122" t="str">
        <v>DISTRIBUCION PRINCIPAL</v>
      </c>
    </row>
    <row r="123" spans="11:16" x14ac:dyDescent="0.3">
      <c r="K123" t="e">
        <v>#N/A</v>
      </c>
      <c r="L123" t="str">
        <v/>
      </c>
      <c r="M123" t="str">
        <v/>
      </c>
      <c r="N123" t="e">
        <v>#N/A</v>
      </c>
      <c r="O123" t="e">
        <v>#N/A</v>
      </c>
      <c r="P123" t="str">
        <v>DISTRIBUCION PRINCIPAL</v>
      </c>
    </row>
    <row r="124" spans="11:16" x14ac:dyDescent="0.3">
      <c r="K124" t="e">
        <v>#N/A</v>
      </c>
      <c r="L124" t="str">
        <v/>
      </c>
      <c r="M124" t="str">
        <v/>
      </c>
      <c r="N124" t="e">
        <v>#N/A</v>
      </c>
      <c r="O124" t="e">
        <v>#N/A</v>
      </c>
      <c r="P124" t="str">
        <v>DISTRIBUCION PRINCIPAL</v>
      </c>
    </row>
    <row r="125" spans="11:16" x14ac:dyDescent="0.3">
      <c r="K125" t="e">
        <v>#N/A</v>
      </c>
      <c r="L125" t="str">
        <v/>
      </c>
      <c r="M125" t="str">
        <v/>
      </c>
      <c r="N125" t="e">
        <v>#N/A</v>
      </c>
      <c r="O125" t="e">
        <v>#N/A</v>
      </c>
      <c r="P125" t="str">
        <v>DISTRIBUCION PRINCIPAL</v>
      </c>
    </row>
    <row r="126" spans="11:16" x14ac:dyDescent="0.3">
      <c r="K126" t="e">
        <v>#N/A</v>
      </c>
      <c r="L126" t="str">
        <v/>
      </c>
      <c r="M126" t="str">
        <v/>
      </c>
      <c r="N126" t="e">
        <v>#N/A</v>
      </c>
      <c r="O126" t="e">
        <v>#N/A</v>
      </c>
      <c r="P126" t="str">
        <v>DISTRIBUCION PRINCIPAL</v>
      </c>
    </row>
    <row r="127" spans="11:16" x14ac:dyDescent="0.3">
      <c r="K127" t="e">
        <v>#N/A</v>
      </c>
      <c r="L127" t="str">
        <v/>
      </c>
      <c r="M127" t="str">
        <v/>
      </c>
      <c r="N127" t="e">
        <v>#N/A</v>
      </c>
      <c r="O127" t="e">
        <v>#N/A</v>
      </c>
      <c r="P127" t="str">
        <v>DISTRIBUCION PRINCIPAL</v>
      </c>
    </row>
    <row r="128" spans="11:16" x14ac:dyDescent="0.3">
      <c r="K128" t="e">
        <v>#N/A</v>
      </c>
      <c r="L128" t="str">
        <v/>
      </c>
      <c r="M128" t="str">
        <v/>
      </c>
      <c r="N128" t="e">
        <v>#N/A</v>
      </c>
      <c r="O128" t="e">
        <v>#N/A</v>
      </c>
      <c r="P128" t="str">
        <v>DISTRIBUCION PRINCIPAL</v>
      </c>
    </row>
    <row r="129" spans="11:16" x14ac:dyDescent="0.3">
      <c r="K129" t="e">
        <v>#N/A</v>
      </c>
      <c r="L129" t="str">
        <v/>
      </c>
      <c r="M129" t="str">
        <v/>
      </c>
      <c r="N129" t="e">
        <v>#N/A</v>
      </c>
      <c r="O129" t="e">
        <v>#N/A</v>
      </c>
      <c r="P129" t="str">
        <v>DISTRIBUCION PRINCIPAL</v>
      </c>
    </row>
    <row r="130" spans="11:16" x14ac:dyDescent="0.3">
      <c r="K130" t="e">
        <v>#N/A</v>
      </c>
      <c r="L130" t="str">
        <v/>
      </c>
      <c r="M130" t="str">
        <v/>
      </c>
      <c r="N130" t="e">
        <v>#N/A</v>
      </c>
      <c r="O130" t="e">
        <v>#N/A</v>
      </c>
      <c r="P130" t="str">
        <v>DISTRIBUCION PRINCIPAL</v>
      </c>
    </row>
    <row r="131" spans="11:16" x14ac:dyDescent="0.3">
      <c r="K131" t="e">
        <v>#N/A</v>
      </c>
      <c r="L131" t="str">
        <v/>
      </c>
      <c r="M131" t="str">
        <v/>
      </c>
      <c r="N131" t="e">
        <v>#N/A</v>
      </c>
      <c r="O131" t="e">
        <v>#N/A</v>
      </c>
      <c r="P131" t="str">
        <v>DISTRIBUCION PRINCIPAL</v>
      </c>
    </row>
    <row r="132" spans="11:16" x14ac:dyDescent="0.3">
      <c r="K132" t="e">
        <v>#N/A</v>
      </c>
      <c r="L132" t="str">
        <v/>
      </c>
      <c r="M132" t="str">
        <v/>
      </c>
      <c r="N132" t="e">
        <v>#N/A</v>
      </c>
      <c r="O132" t="e">
        <v>#N/A</v>
      </c>
      <c r="P132" t="str">
        <v>DISTRIBUCION PRINCIPAL</v>
      </c>
    </row>
    <row r="133" spans="11:16" x14ac:dyDescent="0.3">
      <c r="K133" t="e">
        <v>#N/A</v>
      </c>
      <c r="L133" t="str">
        <v/>
      </c>
      <c r="M133" t="str">
        <v/>
      </c>
      <c r="N133" t="e">
        <v>#N/A</v>
      </c>
      <c r="O133" t="e">
        <v>#N/A</v>
      </c>
      <c r="P133" t="str">
        <v>DISTRIBUCION PRINCIPAL</v>
      </c>
    </row>
    <row r="134" spans="11:16" x14ac:dyDescent="0.3">
      <c r="K134" t="e">
        <v>#N/A</v>
      </c>
      <c r="L134" t="str">
        <v/>
      </c>
      <c r="M134" t="str">
        <v/>
      </c>
      <c r="N134" t="e">
        <v>#N/A</v>
      </c>
      <c r="O134" t="e">
        <v>#N/A</v>
      </c>
      <c r="P134" t="str">
        <v>DISTRIBUCION PRINCIPAL</v>
      </c>
    </row>
    <row r="135" spans="11:16" x14ac:dyDescent="0.3">
      <c r="K135" t="e">
        <v>#N/A</v>
      </c>
      <c r="L135" t="str">
        <v/>
      </c>
      <c r="M135" t="str">
        <v/>
      </c>
      <c r="N135" t="e">
        <v>#N/A</v>
      </c>
      <c r="O135" t="e">
        <v>#N/A</v>
      </c>
      <c r="P135" t="str">
        <v>DISTRIBUCION PRINCIPAL</v>
      </c>
    </row>
    <row r="136" spans="11:16" x14ac:dyDescent="0.3">
      <c r="K136" t="e">
        <v>#N/A</v>
      </c>
      <c r="L136" t="str">
        <v/>
      </c>
      <c r="M136" t="str">
        <v/>
      </c>
      <c r="N136" t="e">
        <v>#N/A</v>
      </c>
      <c r="O136" t="e">
        <v>#N/A</v>
      </c>
      <c r="P136" t="str">
        <v>DISTRIBUCION PRINCIPAL</v>
      </c>
    </row>
    <row r="137" spans="11:16" x14ac:dyDescent="0.3">
      <c r="K137" t="e">
        <v>#N/A</v>
      </c>
      <c r="L137" t="str">
        <v/>
      </c>
      <c r="M137" t="str">
        <v/>
      </c>
      <c r="N137" t="e">
        <v>#N/A</v>
      </c>
      <c r="O137" t="e">
        <v>#N/A</v>
      </c>
      <c r="P137" t="str">
        <v>DISTRIBUCION PRINCIPAL</v>
      </c>
    </row>
    <row r="138" spans="11:16" x14ac:dyDescent="0.3">
      <c r="K138" t="e">
        <v>#N/A</v>
      </c>
      <c r="L138" t="str">
        <v/>
      </c>
      <c r="M138" t="str">
        <v/>
      </c>
      <c r="N138" t="e">
        <v>#N/A</v>
      </c>
      <c r="O138" t="e">
        <v>#N/A</v>
      </c>
      <c r="P138" t="str">
        <v>DISTRIBUCION PRINCIPAL</v>
      </c>
    </row>
    <row r="139" spans="11:16" x14ac:dyDescent="0.3">
      <c r="K139" t="e">
        <v>#N/A</v>
      </c>
      <c r="L139" t="str">
        <v/>
      </c>
      <c r="M139" t="str">
        <v/>
      </c>
      <c r="N139" t="e">
        <v>#N/A</v>
      </c>
      <c r="O139" t="e">
        <v>#N/A</v>
      </c>
      <c r="P139" t="str">
        <v>DISTRIBUCION PRINCIPAL</v>
      </c>
    </row>
    <row r="140" spans="11:16" x14ac:dyDescent="0.3">
      <c r="K140" t="e">
        <v>#N/A</v>
      </c>
      <c r="L140" t="str">
        <v/>
      </c>
      <c r="M140" t="str">
        <v/>
      </c>
      <c r="N140" t="e">
        <v>#N/A</v>
      </c>
      <c r="O140" t="e">
        <v>#N/A</v>
      </c>
      <c r="P140" t="str">
        <v>DISTRIBUCION PRINCIPAL</v>
      </c>
    </row>
    <row r="141" spans="11:16" x14ac:dyDescent="0.3">
      <c r="K141" t="e">
        <v>#N/A</v>
      </c>
      <c r="L141" t="str">
        <v/>
      </c>
      <c r="M141" t="str">
        <v/>
      </c>
      <c r="N141" t="e">
        <v>#N/A</v>
      </c>
      <c r="O141" t="e">
        <v>#N/A</v>
      </c>
      <c r="P141" t="str">
        <v>DISTRIBUCION PRINCIPAL</v>
      </c>
    </row>
    <row r="142" spans="11:16" x14ac:dyDescent="0.3">
      <c r="K142" t="e">
        <v>#N/A</v>
      </c>
      <c r="L142" t="str">
        <v/>
      </c>
      <c r="M142" t="str">
        <v/>
      </c>
      <c r="N142" t="e">
        <v>#N/A</v>
      </c>
      <c r="O142" t="e">
        <v>#N/A</v>
      </c>
      <c r="P142" t="str">
        <v>DISTRIBUCION PRINCIPAL</v>
      </c>
    </row>
    <row r="143" spans="11:16" x14ac:dyDescent="0.3">
      <c r="K143" t="e">
        <v>#N/A</v>
      </c>
      <c r="L143" t="str">
        <v/>
      </c>
      <c r="M143" t="str">
        <v/>
      </c>
      <c r="N143" t="e">
        <v>#N/A</v>
      </c>
      <c r="O143" t="e">
        <v>#N/A</v>
      </c>
      <c r="P143" t="str">
        <v>DISTRIBUCION PRINCIPAL</v>
      </c>
    </row>
    <row r="144" spans="11:16" x14ac:dyDescent="0.3">
      <c r="K144" t="e">
        <v>#N/A</v>
      </c>
      <c r="L144" t="str">
        <v/>
      </c>
      <c r="M144" t="str">
        <v/>
      </c>
      <c r="N144" t="e">
        <v>#N/A</v>
      </c>
      <c r="O144" t="e">
        <v>#N/A</v>
      </c>
      <c r="P144" t="str">
        <v>DISTRIBUCION PRINCIPAL</v>
      </c>
    </row>
    <row r="145" spans="11:16" x14ac:dyDescent="0.3">
      <c r="K145" t="e">
        <v>#N/A</v>
      </c>
      <c r="L145" t="str">
        <v/>
      </c>
      <c r="M145" t="str">
        <v/>
      </c>
      <c r="N145" t="e">
        <v>#N/A</v>
      </c>
      <c r="O145" t="e">
        <v>#N/A</v>
      </c>
      <c r="P145" t="str">
        <v>DISTRIBUCION PRINCIPAL</v>
      </c>
    </row>
    <row r="146" spans="11:16" x14ac:dyDescent="0.3">
      <c r="K146" t="e">
        <v>#N/A</v>
      </c>
      <c r="L146" t="str">
        <v/>
      </c>
      <c r="M146" t="str">
        <v/>
      </c>
      <c r="N146" t="e">
        <v>#N/A</v>
      </c>
      <c r="O146" t="e">
        <v>#N/A</v>
      </c>
      <c r="P146" t="str">
        <v>DISTRIBUCION PRINCIPAL</v>
      </c>
    </row>
    <row r="147" spans="11:16" x14ac:dyDescent="0.3">
      <c r="K147" t="e">
        <v>#N/A</v>
      </c>
      <c r="L147" t="str">
        <v/>
      </c>
      <c r="M147" t="str">
        <v/>
      </c>
      <c r="N147" t="e">
        <v>#N/A</v>
      </c>
      <c r="O147" t="e">
        <v>#N/A</v>
      </c>
      <c r="P147" t="str">
        <v>DISTRIBUCION PRINCIPAL</v>
      </c>
    </row>
    <row r="148" spans="11:16" x14ac:dyDescent="0.3">
      <c r="K148" t="e">
        <v>#N/A</v>
      </c>
      <c r="L148" t="str">
        <v/>
      </c>
      <c r="M148" t="str">
        <v/>
      </c>
      <c r="N148" t="e">
        <v>#N/A</v>
      </c>
      <c r="O148" t="e">
        <v>#N/A</v>
      </c>
      <c r="P148" t="str">
        <v>DISTRIBUCION PRINCIPAL</v>
      </c>
    </row>
    <row r="149" spans="11:16" x14ac:dyDescent="0.3">
      <c r="K149" t="e">
        <v>#N/A</v>
      </c>
      <c r="L149" t="str">
        <v/>
      </c>
      <c r="M149" t="str">
        <v/>
      </c>
      <c r="N149" t="e">
        <v>#N/A</v>
      </c>
      <c r="O149" t="e">
        <v>#N/A</v>
      </c>
      <c r="P149" t="str">
        <v>DISTRIBUCION PRINCIPAL</v>
      </c>
    </row>
    <row r="150" spans="11:16" x14ac:dyDescent="0.3">
      <c r="K150" t="e">
        <v>#N/A</v>
      </c>
      <c r="L150" t="str">
        <v/>
      </c>
      <c r="M150" t="str">
        <v/>
      </c>
      <c r="N150" t="e">
        <v>#N/A</v>
      </c>
      <c r="O150" t="e">
        <v>#N/A</v>
      </c>
      <c r="P150" t="str">
        <v>DISTRIBUCION PRINCIPAL</v>
      </c>
    </row>
    <row r="151" spans="11:16" x14ac:dyDescent="0.3">
      <c r="K151" t="e">
        <v>#N/A</v>
      </c>
      <c r="L151" t="str">
        <v/>
      </c>
      <c r="M151" t="str">
        <v/>
      </c>
      <c r="N151" t="e">
        <v>#N/A</v>
      </c>
      <c r="O151" t="e">
        <v>#N/A</v>
      </c>
      <c r="P151" t="str">
        <v>DISTRIBUCION PRINCIPAL</v>
      </c>
    </row>
    <row r="152" spans="11:16" x14ac:dyDescent="0.3">
      <c r="K152" t="e">
        <v>#N/A</v>
      </c>
      <c r="L152" t="str">
        <v/>
      </c>
      <c r="M152" t="str">
        <v/>
      </c>
      <c r="N152" t="e">
        <v>#N/A</v>
      </c>
      <c r="O152" t="e">
        <v>#N/A</v>
      </c>
      <c r="P152" t="str">
        <v>DISTRIBUCION PRINCIPAL</v>
      </c>
    </row>
    <row r="153" spans="11:16" x14ac:dyDescent="0.3">
      <c r="K153" t="e">
        <v>#N/A</v>
      </c>
      <c r="L153" t="str">
        <v/>
      </c>
      <c r="M153" t="str">
        <v/>
      </c>
      <c r="N153" t="e">
        <v>#N/A</v>
      </c>
      <c r="O153" t="e">
        <v>#N/A</v>
      </c>
      <c r="P153" t="str">
        <v>DISTRIBUCION PRINCIPAL</v>
      </c>
    </row>
    <row r="154" spans="11:16" x14ac:dyDescent="0.3">
      <c r="K154" t="e">
        <v>#N/A</v>
      </c>
      <c r="L154" t="str">
        <v/>
      </c>
      <c r="M154" t="str">
        <v/>
      </c>
      <c r="N154" t="e">
        <v>#N/A</v>
      </c>
      <c r="O154" t="e">
        <v>#N/A</v>
      </c>
      <c r="P154" t="str">
        <v>DISTRIBUCION PRINCIPAL</v>
      </c>
    </row>
    <row r="155" spans="11:16" x14ac:dyDescent="0.3">
      <c r="K155" t="e">
        <v>#N/A</v>
      </c>
      <c r="L155" t="str">
        <v/>
      </c>
      <c r="M155" t="str">
        <v/>
      </c>
      <c r="N155" t="e">
        <v>#N/A</v>
      </c>
      <c r="O155" t="e">
        <v>#N/A</v>
      </c>
      <c r="P155" t="str">
        <v>DISTRIBUCION PRINCIPAL</v>
      </c>
    </row>
    <row r="156" spans="11:16" x14ac:dyDescent="0.3">
      <c r="K156" t="e">
        <v>#N/A</v>
      </c>
      <c r="L156" t="str">
        <v/>
      </c>
      <c r="M156" t="str">
        <v/>
      </c>
      <c r="N156" t="e">
        <v>#N/A</v>
      </c>
      <c r="O156" t="e">
        <v>#N/A</v>
      </c>
      <c r="P156" t="str">
        <v>DISTRIBUCION PRINCIPAL</v>
      </c>
    </row>
    <row r="157" spans="11:16" x14ac:dyDescent="0.3">
      <c r="K157" t="e">
        <v>#N/A</v>
      </c>
      <c r="L157" t="str">
        <v/>
      </c>
      <c r="M157" t="str">
        <v/>
      </c>
      <c r="N157" t="e">
        <v>#N/A</v>
      </c>
      <c r="O157" t="e">
        <v>#N/A</v>
      </c>
      <c r="P157" t="str">
        <v>DISTRIBUCION PRINCIPAL</v>
      </c>
    </row>
    <row r="158" spans="11:16" x14ac:dyDescent="0.3">
      <c r="K158" t="e">
        <v>#N/A</v>
      </c>
      <c r="L158" t="str">
        <v/>
      </c>
      <c r="M158" t="str">
        <v/>
      </c>
      <c r="N158" t="e">
        <v>#N/A</v>
      </c>
      <c r="O158" t="e">
        <v>#N/A</v>
      </c>
      <c r="P158" t="str">
        <v>DISTRIBUCION PRINCIPAL</v>
      </c>
    </row>
    <row r="159" spans="11:16" x14ac:dyDescent="0.3">
      <c r="K159" t="e">
        <v>#N/A</v>
      </c>
      <c r="L159" t="str">
        <v/>
      </c>
      <c r="M159" t="str">
        <v/>
      </c>
      <c r="N159" t="e">
        <v>#N/A</v>
      </c>
      <c r="O159" t="e">
        <v>#N/A</v>
      </c>
      <c r="P159" t="str">
        <v>DISTRIBUCION PRINCIPAL</v>
      </c>
    </row>
    <row r="160" spans="11:16" x14ac:dyDescent="0.3">
      <c r="K160" t="e">
        <v>#N/A</v>
      </c>
      <c r="L160" t="str">
        <v/>
      </c>
      <c r="M160" t="str">
        <v/>
      </c>
      <c r="N160" t="e">
        <v>#N/A</v>
      </c>
      <c r="O160" t="e">
        <v>#N/A</v>
      </c>
      <c r="P160" t="str">
        <v>DISTRIBUCION PRINCIPAL</v>
      </c>
    </row>
    <row r="161" spans="11:16" x14ac:dyDescent="0.3">
      <c r="K161" t="e">
        <v>#N/A</v>
      </c>
      <c r="L161" t="str">
        <v/>
      </c>
      <c r="M161" t="str">
        <v/>
      </c>
      <c r="N161" t="e">
        <v>#N/A</v>
      </c>
      <c r="O161" t="e">
        <v>#N/A</v>
      </c>
      <c r="P161" t="str">
        <v>DISTRIBUCION PRINCIPAL</v>
      </c>
    </row>
    <row r="162" spans="11:16" x14ac:dyDescent="0.3">
      <c r="K162" t="e">
        <v>#N/A</v>
      </c>
      <c r="L162" t="str">
        <v/>
      </c>
      <c r="M162" t="str">
        <v/>
      </c>
      <c r="N162" t="e">
        <v>#N/A</v>
      </c>
      <c r="O162" t="e">
        <v>#N/A</v>
      </c>
      <c r="P162" t="str">
        <v>DISTRIBUCION PRINCIPAL</v>
      </c>
    </row>
    <row r="163" spans="11:16" x14ac:dyDescent="0.3">
      <c r="K163" t="e">
        <v>#N/A</v>
      </c>
      <c r="L163" t="str">
        <v/>
      </c>
      <c r="M163" t="str">
        <v/>
      </c>
      <c r="N163" t="e">
        <v>#N/A</v>
      </c>
      <c r="O163" t="e">
        <v>#N/A</v>
      </c>
      <c r="P163" t="str">
        <v>DISTRIBUCION PRINCIPAL</v>
      </c>
    </row>
    <row r="164" spans="11:16" x14ac:dyDescent="0.3">
      <c r="K164" t="e">
        <v>#N/A</v>
      </c>
      <c r="L164" t="str">
        <v/>
      </c>
      <c r="M164" t="str">
        <v/>
      </c>
      <c r="N164" t="e">
        <v>#N/A</v>
      </c>
      <c r="O164" t="e">
        <v>#N/A</v>
      </c>
      <c r="P164" t="str">
        <v>DISTRIBUCION PRINCIPAL</v>
      </c>
    </row>
    <row r="165" spans="11:16" x14ac:dyDescent="0.3">
      <c r="K165" t="e">
        <v>#N/A</v>
      </c>
      <c r="L165" t="str">
        <v/>
      </c>
      <c r="M165" t="str">
        <v/>
      </c>
      <c r="N165" t="e">
        <v>#N/A</v>
      </c>
      <c r="O165" t="e">
        <v>#N/A</v>
      </c>
      <c r="P165" t="str">
        <v>DISTRIBUCION PRINCIPAL</v>
      </c>
    </row>
    <row r="166" spans="11:16" x14ac:dyDescent="0.3">
      <c r="K166" t="e">
        <v>#N/A</v>
      </c>
      <c r="L166" t="str">
        <v/>
      </c>
      <c r="M166" t="str">
        <v/>
      </c>
      <c r="N166" t="e">
        <v>#N/A</v>
      </c>
      <c r="O166" t="e">
        <v>#N/A</v>
      </c>
      <c r="P166" t="str">
        <v>DISTRIBUCION PRINCIPAL</v>
      </c>
    </row>
    <row r="167" spans="11:16" x14ac:dyDescent="0.3">
      <c r="K167" t="e">
        <v>#N/A</v>
      </c>
      <c r="L167" t="str">
        <v/>
      </c>
      <c r="M167" t="str">
        <v/>
      </c>
      <c r="N167" t="e">
        <v>#N/A</v>
      </c>
      <c r="O167" t="e">
        <v>#N/A</v>
      </c>
      <c r="P167" t="str">
        <v>DISTRIBUCION PRINCIPAL</v>
      </c>
    </row>
    <row r="168" spans="11:16" x14ac:dyDescent="0.3">
      <c r="K168" t="e">
        <v>#N/A</v>
      </c>
      <c r="L168" t="str">
        <v/>
      </c>
      <c r="M168" t="str">
        <v/>
      </c>
      <c r="N168" t="e">
        <v>#N/A</v>
      </c>
      <c r="O168" t="e">
        <v>#N/A</v>
      </c>
      <c r="P168" t="str">
        <v>DISTRIBUCION PRINCIPAL</v>
      </c>
    </row>
    <row r="169" spans="11:16" x14ac:dyDescent="0.3">
      <c r="K169" t="e">
        <v>#N/A</v>
      </c>
      <c r="L169" t="str">
        <v/>
      </c>
      <c r="M169" t="str">
        <v/>
      </c>
      <c r="N169" t="e">
        <v>#N/A</v>
      </c>
      <c r="O169" t="e">
        <v>#N/A</v>
      </c>
      <c r="P169" t="str">
        <v>DISTRIBUCION PRINCIPAL</v>
      </c>
    </row>
    <row r="170" spans="11:16" x14ac:dyDescent="0.3">
      <c r="K170" t="e">
        <v>#N/A</v>
      </c>
      <c r="L170" t="str">
        <v/>
      </c>
      <c r="M170" t="str">
        <v/>
      </c>
      <c r="N170" t="e">
        <v>#N/A</v>
      </c>
      <c r="O170" t="e">
        <v>#N/A</v>
      </c>
      <c r="P170" t="str">
        <v>DISTRIBUCION PRINCIPAL</v>
      </c>
    </row>
    <row r="171" spans="11:16" x14ac:dyDescent="0.3">
      <c r="K171" t="e">
        <v>#N/A</v>
      </c>
      <c r="L171" t="str">
        <v/>
      </c>
      <c r="M171" t="str">
        <v/>
      </c>
      <c r="N171" t="e">
        <v>#N/A</v>
      </c>
      <c r="O171" t="e">
        <v>#N/A</v>
      </c>
      <c r="P171" t="str">
        <v>DISTRIBUCION PRINCIPAL</v>
      </c>
    </row>
    <row r="172" spans="11:16" x14ac:dyDescent="0.3">
      <c r="K172" t="e">
        <v>#N/A</v>
      </c>
      <c r="L172" t="str">
        <v/>
      </c>
      <c r="M172" t="str">
        <v/>
      </c>
      <c r="N172" t="e">
        <v>#N/A</v>
      </c>
      <c r="O172" t="e">
        <v>#N/A</v>
      </c>
      <c r="P172" t="str">
        <v>DISTRIBUCION PRINCIPAL</v>
      </c>
    </row>
    <row r="173" spans="11:16" x14ac:dyDescent="0.3">
      <c r="K173" t="e">
        <v>#N/A</v>
      </c>
      <c r="L173" t="str">
        <v/>
      </c>
      <c r="M173" t="str">
        <v/>
      </c>
      <c r="N173" t="e">
        <v>#N/A</v>
      </c>
      <c r="O173" t="e">
        <v>#N/A</v>
      </c>
      <c r="P173" t="str">
        <v>DISTRIBUCION PRINCIPAL</v>
      </c>
    </row>
    <row r="174" spans="11:16" x14ac:dyDescent="0.3">
      <c r="K174" t="e">
        <v>#N/A</v>
      </c>
      <c r="L174" t="str">
        <v/>
      </c>
      <c r="M174" t="str">
        <v/>
      </c>
      <c r="N174" t="e">
        <v>#N/A</v>
      </c>
      <c r="O174" t="e">
        <v>#N/A</v>
      </c>
      <c r="P174" t="str">
        <v>DISTRIBUCION PRINCIPAL</v>
      </c>
    </row>
    <row r="175" spans="11:16" x14ac:dyDescent="0.3">
      <c r="K175" t="e">
        <v>#N/A</v>
      </c>
      <c r="L175" t="str">
        <v/>
      </c>
      <c r="M175" t="str">
        <v/>
      </c>
      <c r="N175" t="e">
        <v>#N/A</v>
      </c>
      <c r="O175" t="e">
        <v>#N/A</v>
      </c>
      <c r="P175" t="str">
        <v>DISTRIBUCION PRINCIPAL</v>
      </c>
    </row>
    <row r="176" spans="11:16" x14ac:dyDescent="0.3">
      <c r="K176" t="e">
        <v>#N/A</v>
      </c>
      <c r="L176" t="str">
        <v/>
      </c>
      <c r="M176" t="str">
        <v/>
      </c>
      <c r="N176" t="e">
        <v>#N/A</v>
      </c>
      <c r="O176" t="e">
        <v>#N/A</v>
      </c>
      <c r="P176" t="str">
        <v>DISTRIBUCION PRINCIPAL</v>
      </c>
    </row>
    <row r="177" spans="11:16" x14ac:dyDescent="0.3">
      <c r="K177" t="e">
        <v>#N/A</v>
      </c>
      <c r="L177" t="str">
        <v/>
      </c>
      <c r="M177" t="str">
        <v/>
      </c>
      <c r="N177" t="e">
        <v>#N/A</v>
      </c>
      <c r="O177" t="e">
        <v>#N/A</v>
      </c>
      <c r="P177" t="str">
        <v>DISTRIBUCION PRINCIPAL</v>
      </c>
    </row>
    <row r="178" spans="11:16" x14ac:dyDescent="0.3">
      <c r="K178" t="e">
        <v>#N/A</v>
      </c>
      <c r="L178" t="str">
        <v/>
      </c>
      <c r="M178" t="str">
        <v/>
      </c>
      <c r="N178" t="e">
        <v>#N/A</v>
      </c>
      <c r="O178" t="e">
        <v>#N/A</v>
      </c>
      <c r="P178" t="str">
        <v>DISTRIBUCION PRINCIPAL</v>
      </c>
    </row>
    <row r="179" spans="11:16" x14ac:dyDescent="0.3">
      <c r="K179" t="e">
        <v>#N/A</v>
      </c>
      <c r="L179" t="str">
        <v/>
      </c>
      <c r="M179" t="str">
        <v/>
      </c>
      <c r="N179" t="e">
        <v>#N/A</v>
      </c>
      <c r="O179" t="e">
        <v>#N/A</v>
      </c>
      <c r="P179" t="str">
        <v>DISTRIBUCION PRINCIPAL</v>
      </c>
    </row>
    <row r="180" spans="11:16" x14ac:dyDescent="0.3">
      <c r="K180" t="e">
        <v>#N/A</v>
      </c>
      <c r="L180" t="str">
        <v/>
      </c>
      <c r="M180" t="str">
        <v/>
      </c>
      <c r="N180" t="e">
        <v>#N/A</v>
      </c>
      <c r="O180" t="e">
        <v>#N/A</v>
      </c>
      <c r="P180" t="str">
        <v>DISTRIBUCION PRINCIPAL</v>
      </c>
    </row>
    <row r="181" spans="11:16" x14ac:dyDescent="0.3">
      <c r="K181" t="e">
        <v>#N/A</v>
      </c>
      <c r="L181" t="str">
        <v/>
      </c>
      <c r="M181" t="str">
        <v/>
      </c>
      <c r="N181" t="e">
        <v>#N/A</v>
      </c>
      <c r="O181" t="e">
        <v>#N/A</v>
      </c>
      <c r="P181" t="str">
        <v>DISTRIBUCION PRINCIPAL</v>
      </c>
    </row>
    <row r="182" spans="11:16" x14ac:dyDescent="0.3">
      <c r="K182" t="e">
        <v>#N/A</v>
      </c>
      <c r="L182" t="str">
        <v/>
      </c>
      <c r="M182" t="str">
        <v/>
      </c>
      <c r="N182" t="e">
        <v>#N/A</v>
      </c>
      <c r="O182" t="e">
        <v>#N/A</v>
      </c>
      <c r="P182" t="str">
        <v>DISTRIBUCION PRINCIPAL</v>
      </c>
    </row>
    <row r="183" spans="11:16" x14ac:dyDescent="0.3">
      <c r="K183" t="e">
        <v>#N/A</v>
      </c>
      <c r="L183" t="str">
        <v/>
      </c>
      <c r="M183" t="str">
        <v/>
      </c>
      <c r="N183" t="e">
        <v>#N/A</v>
      </c>
      <c r="O183" t="e">
        <v>#N/A</v>
      </c>
      <c r="P183" t="str">
        <v>DISTRIBUCION PRINCIPAL</v>
      </c>
    </row>
    <row r="184" spans="11:16" x14ac:dyDescent="0.3">
      <c r="K184" t="e">
        <v>#N/A</v>
      </c>
      <c r="L184" t="str">
        <v/>
      </c>
      <c r="M184" t="str">
        <v/>
      </c>
      <c r="N184" t="e">
        <v>#N/A</v>
      </c>
      <c r="O184" t="e">
        <v>#N/A</v>
      </c>
      <c r="P184" t="str">
        <v>DISTRIBUCION PRINCIPAL</v>
      </c>
    </row>
    <row r="185" spans="11:16" x14ac:dyDescent="0.3">
      <c r="K185" t="e">
        <v>#N/A</v>
      </c>
      <c r="L185" t="str">
        <v/>
      </c>
      <c r="M185" t="str">
        <v/>
      </c>
      <c r="N185" t="e">
        <v>#N/A</v>
      </c>
      <c r="O185" t="e">
        <v>#N/A</v>
      </c>
      <c r="P185" t="str">
        <v>DISTRIBUCION PRINCIPAL</v>
      </c>
    </row>
    <row r="186" spans="11:16" x14ac:dyDescent="0.3">
      <c r="K186" t="e">
        <v>#N/A</v>
      </c>
      <c r="L186" t="str">
        <v/>
      </c>
      <c r="M186" t="str">
        <v/>
      </c>
      <c r="N186" t="e">
        <v>#N/A</v>
      </c>
      <c r="O186" t="e">
        <v>#N/A</v>
      </c>
      <c r="P186" t="str">
        <v>DISTRIBUCION PRINCIPAL</v>
      </c>
    </row>
    <row r="187" spans="11:16" x14ac:dyDescent="0.3">
      <c r="K187" t="e">
        <v>#N/A</v>
      </c>
      <c r="L187" t="str">
        <v/>
      </c>
      <c r="M187" t="str">
        <v/>
      </c>
      <c r="N187" t="e">
        <v>#N/A</v>
      </c>
      <c r="O187" t="e">
        <v>#N/A</v>
      </c>
      <c r="P187" t="str">
        <v>DISTRIBUCION PRINCIPAL</v>
      </c>
    </row>
    <row r="188" spans="11:16" x14ac:dyDescent="0.3">
      <c r="K188" t="e">
        <v>#N/A</v>
      </c>
      <c r="L188" t="str">
        <v/>
      </c>
      <c r="M188" t="str">
        <v/>
      </c>
      <c r="N188" t="e">
        <v>#N/A</v>
      </c>
      <c r="O188" t="e">
        <v>#N/A</v>
      </c>
      <c r="P188" t="str">
        <v>DISTRIBUCION PRINCIPAL</v>
      </c>
    </row>
    <row r="189" spans="11:16" x14ac:dyDescent="0.3">
      <c r="K189" t="e">
        <v>#N/A</v>
      </c>
      <c r="L189" t="str">
        <v/>
      </c>
      <c r="M189" t="str">
        <v/>
      </c>
      <c r="N189" t="e">
        <v>#N/A</v>
      </c>
      <c r="O189" t="e">
        <v>#N/A</v>
      </c>
      <c r="P189" t="str">
        <v>DISTRIBUCION PRINCIPAL</v>
      </c>
    </row>
    <row r="190" spans="11:16" x14ac:dyDescent="0.3">
      <c r="K190" t="e">
        <v>#N/A</v>
      </c>
      <c r="L190" t="str">
        <v/>
      </c>
      <c r="M190" t="str">
        <v/>
      </c>
      <c r="N190" t="e">
        <v>#N/A</v>
      </c>
      <c r="O190" t="e">
        <v>#N/A</v>
      </c>
      <c r="P190" t="str">
        <v>DISTRIBUCION PRINCIPAL</v>
      </c>
    </row>
    <row r="191" spans="11:16" x14ac:dyDescent="0.3">
      <c r="K191" t="e">
        <v>#N/A</v>
      </c>
      <c r="L191" t="str">
        <v/>
      </c>
      <c r="M191" t="str">
        <v/>
      </c>
      <c r="N191" t="e">
        <v>#N/A</v>
      </c>
      <c r="O191" t="e">
        <v>#N/A</v>
      </c>
      <c r="P191" t="str">
        <v>DISTRIBUCION PRINCIPAL</v>
      </c>
    </row>
    <row r="192" spans="11:16" x14ac:dyDescent="0.3">
      <c r="K192" t="e">
        <v>#N/A</v>
      </c>
      <c r="L192" t="str">
        <v/>
      </c>
      <c r="M192" t="str">
        <v/>
      </c>
      <c r="N192" t="e">
        <v>#N/A</v>
      </c>
      <c r="O192" t="e">
        <v>#N/A</v>
      </c>
      <c r="P192" t="str">
        <v>DISTRIBUCION PRINCIPAL</v>
      </c>
    </row>
    <row r="193" spans="11:16" x14ac:dyDescent="0.3">
      <c r="K193" t="e">
        <v>#N/A</v>
      </c>
      <c r="L193" t="str">
        <v/>
      </c>
      <c r="M193" t="str">
        <v/>
      </c>
      <c r="N193" t="e">
        <v>#N/A</v>
      </c>
      <c r="O193" t="e">
        <v>#N/A</v>
      </c>
      <c r="P193" t="str">
        <v>DISTRIBUCION PRINCIPAL</v>
      </c>
    </row>
    <row r="194" spans="11:16" x14ac:dyDescent="0.3">
      <c r="K194" t="e">
        <v>#N/A</v>
      </c>
      <c r="L194" t="str">
        <v/>
      </c>
      <c r="M194" t="str">
        <v/>
      </c>
      <c r="N194" t="e">
        <v>#N/A</v>
      </c>
      <c r="O194" t="e">
        <v>#N/A</v>
      </c>
      <c r="P194" t="str">
        <v>DISTRIBUCION PRINCIPAL</v>
      </c>
    </row>
    <row r="195" spans="11:16" x14ac:dyDescent="0.3">
      <c r="K195" t="e">
        <v>#N/A</v>
      </c>
      <c r="L195" t="str">
        <v/>
      </c>
      <c r="M195" t="str">
        <v/>
      </c>
      <c r="N195" t="e">
        <v>#N/A</v>
      </c>
      <c r="O195" t="e">
        <v>#N/A</v>
      </c>
      <c r="P195" t="str">
        <v>DISTRIBUCION PRINCIPAL</v>
      </c>
    </row>
    <row r="196" spans="11:16" x14ac:dyDescent="0.3">
      <c r="K196" t="e">
        <v>#N/A</v>
      </c>
      <c r="L196" t="str">
        <v/>
      </c>
      <c r="M196" t="str">
        <v/>
      </c>
      <c r="N196" t="e">
        <v>#N/A</v>
      </c>
      <c r="O196" t="e">
        <v>#N/A</v>
      </c>
      <c r="P196" t="str">
        <v>DISTRIBUCION PRINCIPAL</v>
      </c>
    </row>
    <row r="197" spans="11:16" x14ac:dyDescent="0.3">
      <c r="K197" t="e">
        <v>#N/A</v>
      </c>
      <c r="L197" t="str">
        <v/>
      </c>
      <c r="M197" t="str">
        <v/>
      </c>
      <c r="N197" t="e">
        <v>#N/A</v>
      </c>
      <c r="O197" t="e">
        <v>#N/A</v>
      </c>
      <c r="P197" t="str">
        <v>DISTRIBUCION PRINCIPAL</v>
      </c>
    </row>
    <row r="198" spans="11:16" x14ac:dyDescent="0.3">
      <c r="K198" t="e">
        <v>#N/A</v>
      </c>
      <c r="L198" t="str">
        <v/>
      </c>
      <c r="M198" t="str">
        <v/>
      </c>
      <c r="N198" t="e">
        <v>#N/A</v>
      </c>
      <c r="O198" t="e">
        <v>#N/A</v>
      </c>
      <c r="P198" t="str">
        <v>DISTRIBUCION PRINCIPAL</v>
      </c>
    </row>
    <row r="199" spans="11:16" x14ac:dyDescent="0.3">
      <c r="K199" t="e">
        <v>#N/A</v>
      </c>
      <c r="L199" t="str">
        <v/>
      </c>
      <c r="M199" t="str">
        <v/>
      </c>
      <c r="N199" t="e">
        <v>#N/A</v>
      </c>
      <c r="O199" t="e">
        <v>#N/A</v>
      </c>
      <c r="P199" t="str">
        <v>DISTRIBUCION PRINCIPAL</v>
      </c>
    </row>
    <row r="200" spans="11:16" x14ac:dyDescent="0.3">
      <c r="K200" t="e">
        <v>#N/A</v>
      </c>
      <c r="L200" t="str">
        <v/>
      </c>
      <c r="M200" t="str">
        <v/>
      </c>
      <c r="N200" t="e">
        <v>#N/A</v>
      </c>
      <c r="O200" t="e">
        <v>#N/A</v>
      </c>
      <c r="P200" t="str">
        <v>DISTRIBUCION PRINCIPAL</v>
      </c>
    </row>
    <row r="201" spans="11:16" x14ac:dyDescent="0.3">
      <c r="K201" t="e">
        <v>#N/A</v>
      </c>
      <c r="L201" t="str">
        <v/>
      </c>
      <c r="M201" t="str">
        <v/>
      </c>
      <c r="N201" t="e">
        <v>#N/A</v>
      </c>
      <c r="O201" t="e">
        <v>#N/A</v>
      </c>
      <c r="P201" t="str">
        <v>DISTRIBUCION PRINCIPAL</v>
      </c>
    </row>
  </sheetData>
  <dataValidations count="1">
    <dataValidation type="list" allowBlank="1" showErrorMessage="1" errorTitle="Utilidad" error="Elige un valor de la lista (los tipos se agregan en la hoja TIPOS)." sqref="A2:A500" xr:uid="{00000000-0002-0000-0100-000000000000}">
      <formula1>$K$1:$P$1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="145" zoomScaleNormal="145" workbookViewId="0">
      <pane ySplit="1" topLeftCell="A2" activePane="bottomLeft" state="frozen"/>
      <selection pane="bottomLeft" activeCell="C28" sqref="C28"/>
    </sheetView>
  </sheetViews>
  <sheetFormatPr baseColWidth="10" defaultColWidth="8.88671875" defaultRowHeight="14.4" x14ac:dyDescent="0.3"/>
  <cols>
    <col min="1" max="1" width="16" customWidth="1"/>
    <col min="2" max="2" width="33.5546875" bestFit="1" customWidth="1"/>
    <col min="3" max="3" width="18" customWidth="1"/>
    <col min="4" max="5" width="14" customWidth="1"/>
    <col min="6" max="6" width="71.21875" bestFit="1" customWidth="1"/>
  </cols>
  <sheetData>
    <row r="1" spans="1:6" ht="28.8" x14ac:dyDescent="0.3">
      <c r="A1" s="5" t="s">
        <v>25</v>
      </c>
      <c r="B1" s="5" t="s">
        <v>26</v>
      </c>
      <c r="C1" s="5" t="s">
        <v>39</v>
      </c>
      <c r="D1" s="5" t="s">
        <v>40</v>
      </c>
      <c r="E1" s="5" t="s">
        <v>41</v>
      </c>
      <c r="F1" s="5" t="s">
        <v>42</v>
      </c>
    </row>
    <row r="2" spans="1:6" x14ac:dyDescent="0.3">
      <c r="A2" t="s">
        <v>27</v>
      </c>
      <c r="B2" t="s">
        <v>33</v>
      </c>
      <c r="C2" t="s">
        <v>43</v>
      </c>
      <c r="F2" t="s">
        <v>44</v>
      </c>
    </row>
    <row r="3" spans="1:6" x14ac:dyDescent="0.3">
      <c r="A3" t="s">
        <v>27</v>
      </c>
      <c r="B3" t="s">
        <v>33</v>
      </c>
      <c r="C3">
        <v>4</v>
      </c>
      <c r="F3" t="s">
        <v>45</v>
      </c>
    </row>
    <row r="4" spans="1:6" x14ac:dyDescent="0.3">
      <c r="A4" t="s">
        <v>27</v>
      </c>
      <c r="B4" t="s">
        <v>34</v>
      </c>
      <c r="C4" t="s">
        <v>46</v>
      </c>
      <c r="F4" t="s">
        <v>47</v>
      </c>
    </row>
    <row r="5" spans="1:6" x14ac:dyDescent="0.3">
      <c r="A5" t="s">
        <v>27</v>
      </c>
      <c r="B5" t="s">
        <v>35</v>
      </c>
      <c r="C5" t="s">
        <v>48</v>
      </c>
      <c r="F5" t="s">
        <v>49</v>
      </c>
    </row>
    <row r="6" spans="1:6" x14ac:dyDescent="0.3">
      <c r="A6" t="s">
        <v>30</v>
      </c>
      <c r="B6" t="s">
        <v>36</v>
      </c>
      <c r="C6" t="s">
        <v>85</v>
      </c>
      <c r="F6" t="s">
        <v>87</v>
      </c>
    </row>
    <row r="7" spans="1:6" x14ac:dyDescent="0.3">
      <c r="A7" t="s">
        <v>30</v>
      </c>
      <c r="B7" t="s">
        <v>37</v>
      </c>
      <c r="C7" t="s">
        <v>86</v>
      </c>
      <c r="F7" t="s">
        <v>88</v>
      </c>
    </row>
    <row r="8" spans="1:6" x14ac:dyDescent="0.3">
      <c r="A8" t="s">
        <v>30</v>
      </c>
      <c r="B8" t="s">
        <v>33</v>
      </c>
      <c r="D8">
        <v>6</v>
      </c>
      <c r="F8" t="s">
        <v>89</v>
      </c>
    </row>
  </sheetData>
  <dataValidations count="2">
    <dataValidation type="decimal" allowBlank="1" showErrorMessage="1" errorTitle="DIAMETRO MIN (in)" error="Escribe UN número (sin símbolos ni unidades). Para un rango usa las columnas MIN y MAX." sqref="D2:D500" xr:uid="{00000000-0002-0000-0200-000000000000}">
      <formula1>-1000000</formula1>
      <formula2>1000000</formula2>
    </dataValidation>
    <dataValidation type="decimal" allowBlank="1" showErrorMessage="1" errorTitle="DIAMETRO MAX (in)" error="Escribe UN número (sin símbolos ni unidades). Para un rango usa las columnas MIN y MAX." sqref="E2:E500" xr:uid="{00000000-0002-0000-0200-000001000000}">
      <formula1>-1000000</formula1>
      <formula2>1000000</formula2>
    </dataValidation>
  </dataValidations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Utilidad" error="Elige un valor de la lista (los tipos se agregan en la hoja TIPOS)." xr:uid="{00000000-0002-0000-0200-000002000000}">
          <x14:formula1>
            <xm:f>TIPOS!$K$1:$P$1</xm:f>
          </x14:formula1>
          <xm:sqref>A2:A500</xm:sqref>
        </x14:dataValidation>
        <x14:dataValidation type="list" allowBlank="1" showErrorMessage="1" errorTitle="Tipo" error="Elige un valor de la lista (los tipos se agregan en la hoja TIPOS)." xr:uid="{00000000-0002-0000-0200-000003000000}">
          <x14:formula1>
            <xm:f>OFFSET(TIPOS!$K$2,0,MATCH($A2,TIPOS!$K$1:$P$1,0)-1,MAX(1,COUNTIF(OFFSET(TIPOS!$K$2,0,MATCH($A2,TIPOS!$K$1:$P$1,0)-1,200,1),"?*")),1)</xm:f>
          </x14:formula1>
          <xm:sqref>B2:B500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145" zoomScaleNormal="145" workbookViewId="0">
      <pane ySplit="1" topLeftCell="A2" activePane="bottomLeft" state="frozen"/>
      <selection pane="bottomLeft" activeCell="A8" sqref="A8:G14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30" customWidth="1"/>
    <col min="4" max="4" width="24.5546875" bestFit="1" customWidth="1"/>
    <col min="5" max="5" width="30" customWidth="1"/>
    <col min="6" max="6" width="18" customWidth="1"/>
    <col min="7" max="7" width="22" customWidth="1"/>
  </cols>
  <sheetData>
    <row r="1" spans="1:7" ht="28.8" x14ac:dyDescent="0.3">
      <c r="A1" s="5" t="s">
        <v>25</v>
      </c>
      <c r="B1" s="5" t="s">
        <v>50</v>
      </c>
      <c r="C1" s="5" t="s">
        <v>42</v>
      </c>
      <c r="D1" s="19" t="s">
        <v>84</v>
      </c>
      <c r="E1" s="5" t="s">
        <v>51</v>
      </c>
      <c r="F1" s="5" t="s">
        <v>52</v>
      </c>
      <c r="G1" s="5" t="s">
        <v>53</v>
      </c>
    </row>
    <row r="2" spans="1:7" x14ac:dyDescent="0.3">
      <c r="A2" t="s">
        <v>27</v>
      </c>
      <c r="B2" t="s">
        <v>54</v>
      </c>
      <c r="E2" t="s">
        <v>33</v>
      </c>
    </row>
    <row r="3" spans="1:7" x14ac:dyDescent="0.3">
      <c r="A3" t="s">
        <v>27</v>
      </c>
      <c r="B3" t="s">
        <v>55</v>
      </c>
      <c r="C3" t="s">
        <v>33</v>
      </c>
      <c r="D3" t="s">
        <v>43</v>
      </c>
      <c r="F3">
        <v>-1</v>
      </c>
    </row>
    <row r="4" spans="1:7" x14ac:dyDescent="0.3">
      <c r="A4" t="s">
        <v>27</v>
      </c>
      <c r="B4" t="s">
        <v>56</v>
      </c>
      <c r="C4" t="s">
        <v>33</v>
      </c>
      <c r="D4" t="s">
        <v>57</v>
      </c>
    </row>
    <row r="5" spans="1:7" x14ac:dyDescent="0.3">
      <c r="A5" t="s">
        <v>27</v>
      </c>
      <c r="B5" t="s">
        <v>58</v>
      </c>
      <c r="C5" t="s">
        <v>33</v>
      </c>
      <c r="G5" t="s">
        <v>59</v>
      </c>
    </row>
    <row r="6" spans="1:7" x14ac:dyDescent="0.3">
      <c r="A6" t="s">
        <v>27</v>
      </c>
      <c r="B6" t="s">
        <v>60</v>
      </c>
      <c r="C6" t="s">
        <v>35</v>
      </c>
      <c r="D6" t="s">
        <v>48</v>
      </c>
    </row>
    <row r="7" spans="1:7" x14ac:dyDescent="0.3">
      <c r="A7" t="s">
        <v>30</v>
      </c>
      <c r="B7" t="s">
        <v>58</v>
      </c>
      <c r="G7" t="s">
        <v>61</v>
      </c>
    </row>
  </sheetData>
  <dataValidations count="1">
    <dataValidation type="decimal" allowBlank="1" showErrorMessage="1" errorTitle="DIAMETRO RAMAL DISTRIBUCION" error="Escribe UN número (sin símbolos ni unidades). Para un rango usa las columnas MIN y MAX." sqref="F2:F500" xr:uid="{00000000-0002-0000-0300-000000000000}">
      <formula1>-1000000</formula1>
      <formula2>1000000</formula2>
    </dataValidation>
  </dataValidations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Utilidad" error="Elige un valor de la lista (los tipos se agregan en la hoja TIPOS)." xr:uid="{00000000-0002-0000-0300-000001000000}">
          <x14:formula1>
            <xm:f>TIPOS!$K$1:$P$1</xm:f>
          </x14:formula1>
          <xm:sqref>A2:A500</xm:sqref>
        </x14:dataValidation>
        <x14:dataValidation type="list" allowBlank="1" showErrorMessage="1" errorTitle="Tipo" error="Elige un valor de la lista (los tipos se agregan en la hoja TIPOS)." xr:uid="{00000000-0002-0000-0300-000002000000}">
          <x14:formula1>
            <xm:f>OFFSET(TIPOS!$K$2,0,MATCH($A2,TIPOS!$K$1:$P$1,0)-1,MAX(1,COUNTIF(OFFSET(TIPOS!$K$2,0,MATCH($A2,TIPOS!$K$1:$P$1,0)-1,200,1),"?*")),1)</xm:f>
          </x14:formula1>
          <xm:sqref>C2:C500 E2:E500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abSelected="1" topLeftCell="F1" zoomScale="130" zoomScaleNormal="130" workbookViewId="0">
      <pane ySplit="1" topLeftCell="A2" activePane="bottomLeft" state="frozen"/>
      <selection pane="bottomLeft" activeCell="J4" sqref="J4"/>
    </sheetView>
  </sheetViews>
  <sheetFormatPr baseColWidth="10" defaultColWidth="8.88671875" defaultRowHeight="14.4" x14ac:dyDescent="0.3"/>
  <cols>
    <col min="1" max="2" width="14" customWidth="1"/>
    <col min="3" max="3" width="30" customWidth="1"/>
    <col min="4" max="7" width="12" customWidth="1"/>
    <col min="8" max="12" width="14" customWidth="1"/>
    <col min="13" max="13" width="24.33203125" bestFit="1" customWidth="1"/>
  </cols>
  <sheetData>
    <row r="1" spans="1:13" ht="28.8" x14ac:dyDescent="0.3">
      <c r="A1" s="5" t="s">
        <v>25</v>
      </c>
      <c r="B1" s="5" t="s">
        <v>62</v>
      </c>
      <c r="C1" s="5" t="s">
        <v>26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40</v>
      </c>
      <c r="J1" s="5" t="s">
        <v>41</v>
      </c>
      <c r="K1" s="5" t="s">
        <v>68</v>
      </c>
      <c r="L1" s="5" t="s">
        <v>69</v>
      </c>
      <c r="M1" t="s">
        <v>90</v>
      </c>
    </row>
    <row r="2" spans="1:13" x14ac:dyDescent="0.3">
      <c r="A2" t="s">
        <v>31</v>
      </c>
      <c r="B2" t="s">
        <v>70</v>
      </c>
      <c r="C2" t="s">
        <v>33</v>
      </c>
      <c r="I2">
        <v>2</v>
      </c>
      <c r="M2" t="s">
        <v>91</v>
      </c>
    </row>
    <row r="3" spans="1:13" x14ac:dyDescent="0.3">
      <c r="A3" t="s">
        <v>32</v>
      </c>
      <c r="B3" t="s">
        <v>70</v>
      </c>
      <c r="C3" t="s">
        <v>33</v>
      </c>
      <c r="I3">
        <v>2</v>
      </c>
    </row>
    <row r="4" spans="1:13" x14ac:dyDescent="0.3">
      <c r="A4" t="s">
        <v>31</v>
      </c>
      <c r="B4" t="s">
        <v>70</v>
      </c>
      <c r="C4" t="s">
        <v>38</v>
      </c>
      <c r="D4">
        <v>0</v>
      </c>
      <c r="E4">
        <v>320</v>
      </c>
      <c r="F4">
        <v>0</v>
      </c>
      <c r="G4">
        <v>100</v>
      </c>
      <c r="I4">
        <v>3</v>
      </c>
      <c r="M4" t="s">
        <v>91</v>
      </c>
    </row>
    <row r="5" spans="1:13" x14ac:dyDescent="0.3">
      <c r="A5" t="s">
        <v>31</v>
      </c>
      <c r="B5" t="s">
        <v>70</v>
      </c>
      <c r="C5" t="s">
        <v>38</v>
      </c>
      <c r="D5">
        <v>0</v>
      </c>
      <c r="E5">
        <v>320</v>
      </c>
      <c r="F5">
        <v>101</v>
      </c>
      <c r="G5">
        <v>200</v>
      </c>
      <c r="I5">
        <v>3</v>
      </c>
      <c r="M5" t="s">
        <v>91</v>
      </c>
    </row>
    <row r="6" spans="1:13" x14ac:dyDescent="0.3">
      <c r="A6" t="s">
        <v>31</v>
      </c>
      <c r="B6" t="s">
        <v>70</v>
      </c>
      <c r="C6" t="s">
        <v>38</v>
      </c>
      <c r="D6">
        <v>400</v>
      </c>
      <c r="F6">
        <v>0</v>
      </c>
      <c r="G6">
        <v>100</v>
      </c>
      <c r="I6">
        <v>3</v>
      </c>
      <c r="M6" t="s">
        <v>91</v>
      </c>
    </row>
    <row r="7" spans="1:13" x14ac:dyDescent="0.3">
      <c r="A7" t="s">
        <v>31</v>
      </c>
      <c r="B7" t="s">
        <v>70</v>
      </c>
      <c r="C7" t="s">
        <v>38</v>
      </c>
      <c r="D7">
        <v>400</v>
      </c>
      <c r="F7">
        <v>101</v>
      </c>
      <c r="G7">
        <v>200</v>
      </c>
      <c r="I7">
        <v>4</v>
      </c>
      <c r="M7" t="s">
        <v>91</v>
      </c>
    </row>
  </sheetData>
  <phoneticPr fontId="9" type="noConversion"/>
  <dataValidations count="8">
    <dataValidation type="decimal" allowBlank="1" showErrorMessage="1" errorTitle="AMPERAJE MIN (A)" error="Escribe UN número (sin símbolos ni unidades). Para un rango usa las columnas MIN y MAX." sqref="D2:D500" xr:uid="{00000000-0002-0000-0400-000000000000}">
      <formula1>-1000000</formula1>
      <formula2>1000000</formula2>
    </dataValidation>
    <dataValidation type="decimal" allowBlank="1" showErrorMessage="1" errorTitle="AMPERAJE MAX (A)" error="Escribe UN número (sin símbolos ni unidades). Para un rango usa las columnas MIN y MAX." sqref="E2:E500" xr:uid="{00000000-0002-0000-0400-000001000000}">
      <formula1>-1000000</formula1>
      <formula2>1000000</formula2>
    </dataValidation>
    <dataValidation type="decimal" allowBlank="1" showErrorMessage="1" errorTitle="LONGITUD MIN (pies)" error="Escribe UN número (sin símbolos ni unidades). Para un rango usa las columnas MIN y MAX." sqref="F2:F500" xr:uid="{00000000-0002-0000-0400-000002000000}">
      <formula1>-1000000</formula1>
      <formula2>1000000</formula2>
    </dataValidation>
    <dataValidation type="decimal" allowBlank="1" showErrorMessage="1" errorTitle="LONGITUD MAX (pies)" error="Escribe UN número (sin símbolos ni unidades). Para un rango usa las columnas MIN y MAX." sqref="G2:G500" xr:uid="{00000000-0002-0000-0400-000003000000}">
      <formula1>-1000000</formula1>
      <formula2>1000000</formula2>
    </dataValidation>
    <dataValidation type="decimal" allowBlank="1" showErrorMessage="1" errorTitle="DIAMETRO MIN (in)" error="Escribe UN número (sin símbolos ni unidades). Para un rango usa las columnas MIN y MAX." sqref="I2:I500" xr:uid="{00000000-0002-0000-0400-000004000000}">
      <formula1>-1000000</formula1>
      <formula2>1000000</formula2>
    </dataValidation>
    <dataValidation type="decimal" allowBlank="1" showErrorMessage="1" errorTitle="DIAMETRO MAX (in)" error="Escribe UN número (sin símbolos ni unidades). Para un rango usa las columnas MIN y MAX." sqref="J2:J500" xr:uid="{00000000-0002-0000-0400-000005000000}">
      <formula1>-1000000</formula1>
      <formula2>1000000</formula2>
    </dataValidation>
    <dataValidation type="decimal" allowBlank="1" showErrorMessage="1" errorTitle="RADIO CURVA MIN (pies)" error="Escribe UN número (sin símbolos ni unidades). Para un rango usa las columnas MIN y MAX." sqref="K2:K500" xr:uid="{00000000-0002-0000-0400-000006000000}">
      <formula1>-1000000</formula1>
      <formula2>1000000</formula2>
    </dataValidation>
    <dataValidation type="decimal" allowBlank="1" showErrorMessage="1" errorTitle="RADIO CURVA MAX (pies)" error="Escribe UN número (sin símbolos ni unidades). Para un rango usa las columnas MIN y MAX." sqref="L2:L500" xr:uid="{00000000-0002-0000-0400-000007000000}">
      <formula1>-1000000</formula1>
      <formula2>1000000</formula2>
    </dataValidation>
  </dataValidations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Utilidad" error="Elige un valor de la lista (los tipos se agregan en la hoja TIPOS)." xr:uid="{00000000-0002-0000-0400-000008000000}">
          <x14:formula1>
            <xm:f>TIPOS!$K$1:$P$1</xm:f>
          </x14:formula1>
          <xm:sqref>A2:A500</xm:sqref>
        </x14:dataValidation>
        <x14:dataValidation type="list" allowBlank="1" showErrorMessage="1" errorTitle="Tipo" error="Elige un valor de la lista (los tipos se agregan en la hoja TIPOS)." xr:uid="{00000000-0002-0000-0400-000009000000}">
          <x14:formula1>
            <xm:f>OFFSET(TIPOS!$K$2,0,MATCH($A2,TIPOS!$K$1:$P$1,0)-1,MAX(1,COUNTIF(OFFSET(TIPOS!$K$2,0,MATCH($A2,TIPOS!$K$1:$P$1,0)-1,200,1),"?*")),1)</xm:f>
          </x14:formula1>
          <xm:sqref>C2:C500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topLeftCell="A8" zoomScale="145" zoomScaleNormal="145" workbookViewId="0">
      <selection activeCell="A26" sqref="A26"/>
    </sheetView>
  </sheetViews>
  <sheetFormatPr baseColWidth="10" defaultColWidth="8.88671875" defaultRowHeight="14.4" x14ac:dyDescent="0.3"/>
  <cols>
    <col min="1" max="1" width="110" customWidth="1"/>
  </cols>
  <sheetData>
    <row r="1" spans="1:1" ht="19.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ht="15.6" x14ac:dyDescent="0.3">
      <c r="A4" s="3" t="s">
        <v>2</v>
      </c>
    </row>
    <row r="5" spans="1:1" x14ac:dyDescent="0.3">
      <c r="A5" s="2" t="s">
        <v>3</v>
      </c>
    </row>
    <row r="6" spans="1:1" x14ac:dyDescent="0.3">
      <c r="A6" s="2"/>
    </row>
    <row r="7" spans="1:1" ht="15.6" x14ac:dyDescent="0.3">
      <c r="A7" s="3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2"/>
    </row>
    <row r="11" spans="1:1" ht="15.6" x14ac:dyDescent="0.3">
      <c r="A11" s="3" t="s">
        <v>7</v>
      </c>
    </row>
    <row r="12" spans="1:1" x14ac:dyDescent="0.3">
      <c r="A12" s="4" t="s">
        <v>8</v>
      </c>
    </row>
    <row r="13" spans="1:1" x14ac:dyDescent="0.3">
      <c r="A13" s="2" t="s">
        <v>9</v>
      </c>
    </row>
    <row r="14" spans="1:1" x14ac:dyDescent="0.3">
      <c r="A14" s="2"/>
    </row>
    <row r="15" spans="1:1" ht="15.6" x14ac:dyDescent="0.3">
      <c r="A15" s="3" t="s">
        <v>10</v>
      </c>
    </row>
    <row r="16" spans="1:1" x14ac:dyDescent="0.3">
      <c r="A16" s="2" t="s">
        <v>11</v>
      </c>
    </row>
    <row r="17" spans="1:1" x14ac:dyDescent="0.3">
      <c r="A17" s="4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/>
    </row>
    <row r="23" spans="1:1" ht="15.6" x14ac:dyDescent="0.3">
      <c r="A23" s="3" t="s">
        <v>17</v>
      </c>
    </row>
    <row r="24" spans="1:1" ht="28.8" x14ac:dyDescent="0.3">
      <c r="A24" s="2" t="s">
        <v>18</v>
      </c>
    </row>
    <row r="25" spans="1:1" x14ac:dyDescent="0.3">
      <c r="A25" s="2"/>
    </row>
    <row r="26" spans="1:1" ht="15.6" x14ac:dyDescent="0.3">
      <c r="A26" s="3" t="s">
        <v>19</v>
      </c>
    </row>
    <row r="27" spans="1:1" x14ac:dyDescent="0.3">
      <c r="A27" s="2" t="s">
        <v>20</v>
      </c>
    </row>
    <row r="28" spans="1:1" x14ac:dyDescent="0.3">
      <c r="A28" s="2" t="s">
        <v>21</v>
      </c>
    </row>
    <row r="29" spans="1:1" x14ac:dyDescent="0.3">
      <c r="A29" s="2" t="s">
        <v>22</v>
      </c>
    </row>
    <row r="30" spans="1:1" x14ac:dyDescent="0.3">
      <c r="A30" s="2"/>
    </row>
    <row r="31" spans="1:1" ht="15.6" x14ac:dyDescent="0.3">
      <c r="A31" s="3" t="s">
        <v>23</v>
      </c>
    </row>
    <row r="32" spans="1:1" ht="28.8" x14ac:dyDescent="0.3">
      <c r="A32" s="2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/>
  </sheetViews>
  <sheetFormatPr baseColWidth="10" defaultColWidth="8.88671875" defaultRowHeight="14.4" x14ac:dyDescent="0.3"/>
  <cols>
    <col min="1" max="1" width="15.6640625" customWidth="1"/>
    <col min="2" max="2" width="31.5546875" customWidth="1"/>
    <col min="9" max="9" width="22.33203125" customWidth="1"/>
  </cols>
  <sheetData>
    <row r="1" spans="1:9" x14ac:dyDescent="0.3">
      <c r="A1" t="s">
        <v>71</v>
      </c>
    </row>
    <row r="2" spans="1:9" ht="27.6" x14ac:dyDescent="0.3">
      <c r="A2" s="6" t="s">
        <v>72</v>
      </c>
      <c r="B2" s="7" t="s">
        <v>73</v>
      </c>
    </row>
    <row r="3" spans="1:9" x14ac:dyDescent="0.3">
      <c r="A3" s="8" t="s">
        <v>74</v>
      </c>
      <c r="B3" s="9" t="s">
        <v>75</v>
      </c>
    </row>
    <row r="4" spans="1:9" x14ac:dyDescent="0.3">
      <c r="A4" s="8" t="s">
        <v>76</v>
      </c>
      <c r="B4" s="9" t="s">
        <v>77</v>
      </c>
    </row>
    <row r="6" spans="1:9" x14ac:dyDescent="0.3">
      <c r="A6" t="s">
        <v>78</v>
      </c>
    </row>
    <row r="7" spans="1:9" x14ac:dyDescent="0.3">
      <c r="A7" s="10" t="s">
        <v>25</v>
      </c>
      <c r="B7" s="10" t="s">
        <v>62</v>
      </c>
      <c r="C7" s="10" t="s">
        <v>26</v>
      </c>
      <c r="D7" s="10" t="s">
        <v>79</v>
      </c>
      <c r="E7" s="10" t="s">
        <v>80</v>
      </c>
      <c r="F7" s="10" t="s">
        <v>67</v>
      </c>
      <c r="G7" s="10" t="s">
        <v>40</v>
      </c>
      <c r="H7" s="10" t="s">
        <v>41</v>
      </c>
      <c r="I7" s="10" t="s">
        <v>68</v>
      </c>
    </row>
    <row r="8" spans="1:9" x14ac:dyDescent="0.3">
      <c r="A8" s="11" t="s">
        <v>31</v>
      </c>
      <c r="B8" s="12" t="s">
        <v>81</v>
      </c>
      <c r="C8" s="12"/>
      <c r="D8" s="12"/>
      <c r="E8" s="12"/>
      <c r="F8" s="12">
        <v>3</v>
      </c>
      <c r="G8" s="12"/>
      <c r="H8" s="13"/>
      <c r="I8" s="12">
        <v>12.5</v>
      </c>
    </row>
    <row r="9" spans="1:9" x14ac:dyDescent="0.3">
      <c r="A9" s="14" t="s">
        <v>31</v>
      </c>
      <c r="B9" s="15" t="s">
        <v>81</v>
      </c>
      <c r="C9" s="14"/>
      <c r="D9" s="14"/>
      <c r="E9" s="14"/>
      <c r="F9" s="14"/>
      <c r="G9" s="14">
        <v>3</v>
      </c>
      <c r="H9" s="16">
        <v>6</v>
      </c>
      <c r="I9" s="14" t="s">
        <v>82</v>
      </c>
    </row>
    <row r="10" spans="1:9" x14ac:dyDescent="0.3">
      <c r="A10" s="11" t="s">
        <v>31</v>
      </c>
      <c r="B10" s="12" t="s">
        <v>81</v>
      </c>
      <c r="C10" s="11"/>
      <c r="D10" s="11"/>
      <c r="E10" s="11"/>
      <c r="F10" s="11"/>
      <c r="G10" s="11"/>
      <c r="H10" s="17">
        <v>4</v>
      </c>
      <c r="I10" s="11">
        <v>3</v>
      </c>
    </row>
    <row r="11" spans="1:9" x14ac:dyDescent="0.3">
      <c r="A11" s="14" t="s">
        <v>31</v>
      </c>
      <c r="B11" s="14" t="s">
        <v>81</v>
      </c>
      <c r="C11" s="14"/>
      <c r="D11" s="14"/>
      <c r="E11" s="14"/>
      <c r="F11" s="14"/>
      <c r="G11" s="14">
        <v>5</v>
      </c>
      <c r="H11" s="16"/>
      <c r="I11" s="18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TIPOS</vt:lpstr>
      <vt:lpstr>PRESION-DIAMETROS</vt:lpstr>
      <vt:lpstr>PRESION-ACCESORIOS</vt:lpstr>
      <vt:lpstr>ELECT-TELECOM</vt:lpstr>
      <vt:lpstr>INSTRUCCIONES</vt:lpstr>
      <vt:lpstr>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Deyvy Muñoz</cp:lastModifiedBy>
  <dcterms:created xsi:type="dcterms:W3CDTF">2026-10-14T14:52:25Z</dcterms:created>
  <dcterms:modified xsi:type="dcterms:W3CDTF">2026-10-14T17:52:11Z</dcterms:modified>
</cp:coreProperties>
</file>